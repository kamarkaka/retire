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lat FX" sheetId="1" r:id="rId1"/>
    <sheet name="RMB appreciation" sheetId="2" r:id="rId2"/>
    <sheet name="Summary" sheetId="3" r:id="rId3"/>
  </sheets>
  <calcPr calcId="191029" calcMode="auto" fullCalcOnLoad="1" forceFullCalc="1"/>
</workbook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>
      <pane ySplit="13" topLeftCell="A14" activePane="bottomLeft" state="frozen"/>
    </sheetView>
  </sheetViews>
  <cols>
    <col min="1" max="4" width="13" customWidth="1"/>
    <col min="5" max="13" width="24" customWidth="1"/>
  </cols>
  <sheetData>
    <row r="1">
      <c r="A1" t="inlineStr">
        <is>
          <t>CONTROL-PV: flat FX</t>
        </is>
      </c>
    </row>
    <row r="2">
      <c r="A2" t="inlineStr">
        <is>
          <t>M00 reference workbook. Human review NOT RUN. Recalculate after opening; no taxes/medical growth/portfolio risk included.</t>
        </is>
      </c>
    </row>
    <row r="4">
      <c r="A4" t="inlineStr">
        <is>
          <t>Start year</t>
        </is>
      </c>
      <c r="B4">
        <v>2026</v>
      </c>
    </row>
    <row r="5">
      <c r="A5" t="inlineStr">
        <is>
          <t>Annual CNY today</t>
        </is>
      </c>
      <c r="B5">
        <v>250000</v>
      </c>
    </row>
    <row r="6">
      <c r="A6" t="inlineStr">
        <is>
          <t>Initial CNY/USD</t>
        </is>
      </c>
      <c r="B6">
        <v>6.69</v>
      </c>
    </row>
    <row r="7">
      <c r="A7" t="inlineStr">
        <is>
          <t>China CPI</t>
        </is>
      </c>
      <c r="B7">
        <v>0.04</v>
      </c>
    </row>
    <row r="8">
      <c r="A8" t="inlineStr">
        <is>
          <t>Nominal USD return</t>
        </is>
      </c>
      <c r="B8">
        <v>0.03</v>
      </c>
    </row>
    <row r="9">
      <c r="A9" t="inlineStr">
        <is>
          <t>Annual FX multiplier</t>
        </is>
      </c>
      <c r="B9">
        <v>1</v>
      </c>
    </row>
    <row r="10">
      <c r="A10" t="inlineStr">
        <is>
          <t>Payments</t>
        </is>
      </c>
      <c r="B10">
        <v>50</v>
      </c>
    </row>
    <row r="11">
      <c r="A11" t="inlineStr">
        <is>
          <t>Birth year both</t>
        </is>
      </c>
      <c r="B11">
        <v>1986</v>
      </c>
    </row>
    <row r="13">
      <c r="A13" t="inlineStr">
        <is>
          <t>t</t>
        </is>
      </c>
      <c r="B13" t="inlineStr">
        <is>
          <t>Year</t>
        </is>
      </c>
      <c r="C13" t="inlineStr">
        <is>
          <t>Age A</t>
        </is>
      </c>
      <c r="D13" t="inlineStr">
        <is>
          <t>Age B</t>
        </is>
      </c>
      <c r="E13" t="inlineStr">
        <is>
          <t>Spending CNY</t>
        </is>
      </c>
      <c r="F13" t="inlineStr">
        <is>
          <t>CNY/USD</t>
        </is>
      </c>
      <c r="G13" t="inlineStr">
        <is>
          <t>USD payment</t>
        </is>
      </c>
      <c r="H13" t="inlineStr">
        <is>
          <t>Discount factor</t>
        </is>
      </c>
      <c r="I13" t="inlineStr">
        <is>
          <t>PV payment</t>
        </is>
      </c>
      <c r="J13" t="inlineStr">
        <is>
          <t>Cumulative PV</t>
        </is>
      </c>
      <c r="K13" t="inlineStr">
        <is>
          <t>Opening USD</t>
        </is>
      </c>
      <c r="L13" t="inlineStr">
        <is>
          <t>After withdrawal</t>
        </is>
      </c>
      <c r="M13" t="inlineStr">
        <is>
          <t>End USD</t>
        </is>
      </c>
    </row>
    <row r="14">
      <c r="A14">
        <v>0</v>
      </c>
      <c r="B14">
        <f>$B$4+A14</f>
        <v>2026</v>
      </c>
      <c r="C14">
        <f>B14-$B$11</f>
        <v>40</v>
      </c>
      <c r="D14">
        <f>B14-$B$11</f>
        <v>40</v>
      </c>
      <c r="E14">
        <f>$B$5*(1+$B$7)^A14</f>
        <v>250000</v>
      </c>
      <c r="F14">
        <f>$B$6*$B$9^A14</f>
        <v>6.69</v>
      </c>
      <c r="G14">
        <f>E14/F14</f>
        <v>37369.20777279522</v>
      </c>
      <c r="H14">
        <f>(1+$B$8)^A14</f>
        <v>1</v>
      </c>
      <c r="I14">
        <f>G14/H14</f>
        <v>37369.20777279522</v>
      </c>
      <c r="J14">
        <f>SUM($I$14:I14)</f>
        <v>37369.20777279522</v>
      </c>
      <c r="K14">
        <f>$B$65</f>
        <v>2390572.9770677146</v>
      </c>
      <c r="L14">
        <f>K14-G14</f>
        <v>2353203.7692949194</v>
      </c>
      <c r="M14">
        <f>L14*(1+$B$8)</f>
        <v>2423799.882373767</v>
      </c>
    </row>
    <row r="15">
      <c r="A15">
        <f>A14+1</f>
        <v>1</v>
      </c>
      <c r="B15">
        <f>$B$4+A15</f>
        <v>2027</v>
      </c>
      <c r="C15">
        <f>B15-$B$11</f>
        <v>41</v>
      </c>
      <c r="D15">
        <f>B15-$B$11</f>
        <v>41</v>
      </c>
      <c r="E15">
        <f>$B$5*(1+$B$7)^A15</f>
        <v>260000</v>
      </c>
      <c r="F15">
        <f>$B$6*$B$9^A15</f>
        <v>6.69</v>
      </c>
      <c r="G15">
        <f>E15/F15</f>
        <v>38863.97608370703</v>
      </c>
      <c r="H15">
        <f>(1+$B$8)^A15</f>
        <v>1.03</v>
      </c>
      <c r="I15">
        <f>G15/H15</f>
        <v>37732.01561524954</v>
      </c>
      <c r="J15">
        <f>SUM($I$14:I15)</f>
        <v>75101.22338804476</v>
      </c>
      <c r="K15">
        <f>M14</f>
        <v>2423799.882373767</v>
      </c>
      <c r="L15">
        <f>K15-G15</f>
        <v>2384935.90629006</v>
      </c>
      <c r="M15">
        <f>L15*(1+$B$8)</f>
        <v>2456483.9834787613</v>
      </c>
    </row>
    <row r="16">
      <c r="A16">
        <f>A15+1</f>
        <v>2</v>
      </c>
      <c r="B16">
        <f>$B$4+A16</f>
        <v>2028</v>
      </c>
      <c r="C16">
        <f>B16-$B$11</f>
        <v>42</v>
      </c>
      <c r="D16">
        <f>B16-$B$11</f>
        <v>42</v>
      </c>
      <c r="E16">
        <f>$B$5*(1+$B$7)^A16</f>
        <v>270400</v>
      </c>
      <c r="F16">
        <f>$B$6*$B$9^A16</f>
        <v>6.69</v>
      </c>
      <c r="G16">
        <f>E16/F16</f>
        <v>40418.53512705531</v>
      </c>
      <c r="H16">
        <f>(1+$B$8)^A16</f>
        <v>1.0609</v>
      </c>
      <c r="I16">
        <f>G16/H16</f>
        <v>38098.345863941286</v>
      </c>
      <c r="J16">
        <f>SUM($I$14:I16)</f>
        <v>113199.56925198603</v>
      </c>
      <c r="K16">
        <f>M15</f>
        <v>2456483.9834787613</v>
      </c>
      <c r="L16">
        <f>K16-G16</f>
        <v>2416065.448351707</v>
      </c>
      <c r="M16">
        <f>L16*(1+$B$8)</f>
        <v>2488547.4118022574</v>
      </c>
    </row>
    <row r="17">
      <c r="A17">
        <f>A16+1</f>
        <v>3</v>
      </c>
      <c r="B17">
        <f>$B$4+A17</f>
        <v>2029</v>
      </c>
      <c r="C17">
        <f>B17-$B$11</f>
        <v>43</v>
      </c>
      <c r="D17">
        <f>B17-$B$11</f>
        <v>43</v>
      </c>
      <c r="E17">
        <f>$B$5*(1+$B$7)^A17</f>
        <v>281216</v>
      </c>
      <c r="F17">
        <f>$B$6*$B$9^A17</f>
        <v>6.69</v>
      </c>
      <c r="G17">
        <f>E17/F17</f>
        <v>42035.27653213752</v>
      </c>
      <c r="H17">
        <f>(1+$B$8)^A17</f>
        <v>1.092727</v>
      </c>
      <c r="I17">
        <f>G17/H17</f>
        <v>38468.23271698925</v>
      </c>
      <c r="J17">
        <f>SUM($I$14:I17)</f>
        <v>151667.80196897528</v>
      </c>
      <c r="K17">
        <f>M16</f>
        <v>2488547.4118022574</v>
      </c>
      <c r="L17">
        <f>K17-G17</f>
        <v>2446512.1352701196</v>
      </c>
      <c r="M17">
        <f>L17*(1+$B$8)</f>
        <v>2519907.4993282235</v>
      </c>
    </row>
    <row r="18">
      <c r="A18">
        <f>A17+1</f>
        <v>4</v>
      </c>
      <c r="B18">
        <f>$B$4+A18</f>
        <v>2030</v>
      </c>
      <c r="C18">
        <f>B18-$B$11</f>
        <v>44</v>
      </c>
      <c r="D18">
        <f>B18-$B$11</f>
        <v>44</v>
      </c>
      <c r="E18">
        <f>$B$5*(1+$B$7)^A18</f>
        <v>292464.64</v>
      </c>
      <c r="F18">
        <f>$B$6*$B$9^A18</f>
        <v>6.69</v>
      </c>
      <c r="G18">
        <f>E18/F18</f>
        <v>43716.68759342302</v>
      </c>
      <c r="H18">
        <f>(1+$B$8)^A18</f>
        <v>1.12550881</v>
      </c>
      <c r="I18">
        <f>G18/H18</f>
        <v>38841.71070453284</v>
      </c>
      <c r="J18">
        <f>SUM($I$14:I18)</f>
        <v>190509.51267350814</v>
      </c>
      <c r="K18">
        <f>M17</f>
        <v>2519907.4993282235</v>
      </c>
      <c r="L18">
        <f>K18-G18</f>
        <v>2476190.8117348007</v>
      </c>
      <c r="M18">
        <f>L18*(1+$B$8)</f>
        <v>2550476.5360868447</v>
      </c>
    </row>
    <row r="19">
      <c r="A19">
        <f>A18+1</f>
        <v>5</v>
      </c>
      <c r="B19">
        <f>$B$4+A19</f>
        <v>2031</v>
      </c>
      <c r="C19">
        <f>B19-$B$11</f>
        <v>45</v>
      </c>
      <c r="D19">
        <f>B19-$B$11</f>
        <v>45</v>
      </c>
      <c r="E19">
        <f>$B$5*(1+$B$7)^A19</f>
        <v>304163.2256</v>
      </c>
      <c r="F19">
        <f>$B$6*$B$9^A19</f>
        <v>6.69</v>
      </c>
      <c r="G19">
        <f>E19/F19</f>
        <v>45465.35509715994</v>
      </c>
      <c r="H19">
        <f>(1+$B$8)^A19</f>
        <v>1.1592740743</v>
      </c>
      <c r="I19">
        <f>G19/H19</f>
        <v>39218.81469195549</v>
      </c>
      <c r="J19">
        <f>SUM($I$14:I19)</f>
        <v>229728.3273654636</v>
      </c>
      <c r="K19">
        <f>M18</f>
        <v>2550476.5360868447</v>
      </c>
      <c r="L19">
        <f>K19-G19</f>
        <v>2505011.1809896845</v>
      </c>
      <c r="M19">
        <f>L19*(1+$B$8)</f>
        <v>2580161.5164193753</v>
      </c>
    </row>
    <row r="20">
      <c r="A20">
        <f>A19+1</f>
        <v>6</v>
      </c>
      <c r="B20">
        <f>$B$4+A20</f>
        <v>2032</v>
      </c>
      <c r="C20">
        <f>B20-$B$11</f>
        <v>46</v>
      </c>
      <c r="D20">
        <f>B20-$B$11</f>
        <v>46</v>
      </c>
      <c r="E20">
        <f>$B$5*(1+$B$7)^A20</f>
        <v>316329.754624</v>
      </c>
      <c r="F20">
        <f>$B$6*$B$9^A20</f>
        <v>6.69</v>
      </c>
      <c r="G20">
        <f>E20/F20</f>
        <v>47283.96930104634</v>
      </c>
      <c r="H20">
        <f>(1+$B$8)^A20</f>
        <v>1.194052296529</v>
      </c>
      <c r="I20">
        <f>G20/H20</f>
        <v>39599.57988313952</v>
      </c>
      <c r="J20">
        <f>SUM($I$14:I20)</f>
        <v>269327.9072486032</v>
      </c>
      <c r="K20">
        <f>M19</f>
        <v>2580161.5164193753</v>
      </c>
      <c r="L20">
        <f>K20-G20</f>
        <v>2532877.547118329</v>
      </c>
      <c r="M20">
        <f>L20*(1+$B$8)</f>
        <v>2608863.873531879</v>
      </c>
    </row>
    <row r="21">
      <c r="A21">
        <f>A20+1</f>
        <v>7</v>
      </c>
      <c r="B21">
        <f>$B$4+A21</f>
        <v>2033</v>
      </c>
      <c r="C21">
        <f>B21-$B$11</f>
        <v>47</v>
      </c>
      <c r="D21">
        <f>B21-$B$11</f>
        <v>47</v>
      </c>
      <c r="E21">
        <f>$B$5*(1+$B$7)^A21</f>
        <v>328982.94480896</v>
      </c>
      <c r="F21">
        <f>$B$6*$B$9^A21</f>
        <v>6.69</v>
      </c>
      <c r="G21">
        <f>E21/F21</f>
        <v>49175.32807308819</v>
      </c>
      <c r="H21">
        <f>(1+$B$8)^A21</f>
        <v>1.22987386542487</v>
      </c>
      <c r="I21">
        <f>G21/H21</f>
        <v>39984.04182375253</v>
      </c>
      <c r="J21">
        <f>SUM($I$14:I21)</f>
        <v>309311.9490723557</v>
      </c>
      <c r="K21">
        <f>M20</f>
        <v>2608863.873531879</v>
      </c>
      <c r="L21">
        <f>K21-G21</f>
        <v>2559688.5454587904</v>
      </c>
      <c r="M21">
        <f>L21*(1+$B$8)</f>
        <v>2636479.201822554</v>
      </c>
    </row>
    <row r="22">
      <c r="A22">
        <f>A21+1</f>
        <v>8</v>
      </c>
      <c r="B22">
        <f>$B$4+A22</f>
        <v>2034</v>
      </c>
      <c r="C22">
        <f>B22-$B$11</f>
        <v>48</v>
      </c>
      <c r="D22">
        <f>B22-$B$11</f>
        <v>48</v>
      </c>
      <c r="E22">
        <f>$B$5*(1+$B$7)^A22</f>
        <v>342142.2626013184</v>
      </c>
      <c r="F22">
        <f>$B$6*$B$9^A22</f>
        <v>6.69</v>
      </c>
      <c r="G22">
        <f>E22/F22</f>
        <v>51142.341196011716</v>
      </c>
      <c r="H22">
        <f>(1+$B$8)^A22</f>
        <v>1.266770081387616</v>
      </c>
      <c r="I22">
        <f>G22/H22</f>
        <v>40372.23640456566</v>
      </c>
      <c r="J22">
        <f>SUM($I$14:I22)</f>
        <v>349684.1854769213</v>
      </c>
      <c r="K22">
        <f>M21</f>
        <v>2636479.201822554</v>
      </c>
      <c r="L22">
        <f>K22-G22</f>
        <v>2585336.860626543</v>
      </c>
      <c r="M22">
        <f>L22*(1+$B$8)</f>
        <v>2662896.966445339</v>
      </c>
    </row>
    <row r="23">
      <c r="A23">
        <f>A22+1</f>
        <v>9</v>
      </c>
      <c r="B23">
        <f>$B$4+A23</f>
        <v>2035</v>
      </c>
      <c r="C23">
        <f>B23-$B$11</f>
        <v>49</v>
      </c>
      <c r="D23">
        <f>B23-$B$11</f>
        <v>49</v>
      </c>
      <c r="E23">
        <f>$B$5*(1+$B$7)^A23</f>
        <v>355827.95310537115</v>
      </c>
      <c r="F23">
        <f>$B$6*$B$9^A23</f>
        <v>6.69</v>
      </c>
      <c r="G23">
        <f>E23/F23</f>
        <v>53188.03484385219</v>
      </c>
      <c r="H23">
        <f>(1+$B$8)^A23</f>
        <v>1.3047731838292447</v>
      </c>
      <c r="I23">
        <f>G23/H23</f>
        <v>40764.199864804155</v>
      </c>
      <c r="J23">
        <f>SUM($I$14:I23)</f>
        <v>390448.3853417255</v>
      </c>
      <c r="K23">
        <f>M22</f>
        <v>2662896.966445339</v>
      </c>
      <c r="L23">
        <f>K23-G23</f>
        <v>2609708.9316014866</v>
      </c>
      <c r="M23">
        <f>L23*(1+$B$8)</f>
        <v>2688000.199549531</v>
      </c>
    </row>
    <row r="24">
      <c r="A24">
        <f>A23+1</f>
        <v>10</v>
      </c>
      <c r="B24">
        <f>$B$4+A24</f>
        <v>2036</v>
      </c>
      <c r="C24">
        <f>B24-$B$11</f>
        <v>50</v>
      </c>
      <c r="D24">
        <f>B24-$B$11</f>
        <v>50</v>
      </c>
      <c r="E24">
        <f>$B$5*(1+$B$7)^A24</f>
        <v>370061.07122958597</v>
      </c>
      <c r="F24">
        <f>$B$6*$B$9^A24</f>
        <v>6.69</v>
      </c>
      <c r="G24">
        <f>E24/F24</f>
        <v>55315.55623760627</v>
      </c>
      <c r="H24">
        <f>(1+$B$8)^A24</f>
        <v>1.3439163793441218</v>
      </c>
      <c r="I24">
        <f>G24/H24</f>
        <v>41159.96879553042</v>
      </c>
      <c r="J24">
        <f>SUM($I$14:I24)</f>
        <v>431608.3541372559</v>
      </c>
      <c r="K24">
        <f>M23</f>
        <v>2688000.199549531</v>
      </c>
      <c r="L24">
        <f>K24-G24</f>
        <v>2632684.643311925</v>
      </c>
      <c r="M24">
        <f>L24*(1+$B$8)</f>
        <v>2711665.182611283</v>
      </c>
    </row>
    <row r="25">
      <c r="A25">
        <f>A24+1</f>
        <v>11</v>
      </c>
      <c r="B25">
        <f>$B$4+A25</f>
        <v>2037</v>
      </c>
      <c r="C25">
        <f>B25-$B$11</f>
        <v>51</v>
      </c>
      <c r="D25">
        <f>B25-$B$11</f>
        <v>51</v>
      </c>
      <c r="E25">
        <f>$B$5*(1+$B$7)^A25</f>
        <v>384863.5140787694</v>
      </c>
      <c r="F25">
        <f>$B$6*$B$9^A25</f>
        <v>6.69</v>
      </c>
      <c r="G25">
        <f>E25/F25</f>
        <v>57528.17848711053</v>
      </c>
      <c r="H25">
        <f>(1+$B$8)^A25</f>
        <v>1.3842338707244455</v>
      </c>
      <c r="I25">
        <f>G25/H25</f>
        <v>41559.58014305984</v>
      </c>
      <c r="J25">
        <f>SUM($I$14:I25)</f>
        <v>473167.93428031576</v>
      </c>
      <c r="K25">
        <f>M24</f>
        <v>2711665.182611283</v>
      </c>
      <c r="L25">
        <f>K25-G25</f>
        <v>2654137.004124172</v>
      </c>
      <c r="M25">
        <f>L25*(1+$B$8)</f>
        <v>2733761.1142478976</v>
      </c>
    </row>
    <row r="26">
      <c r="A26">
        <f>A25+1</f>
        <v>12</v>
      </c>
      <c r="B26">
        <f>$B$4+A26</f>
        <v>2038</v>
      </c>
      <c r="C26">
        <f>B26-$B$11</f>
        <v>52</v>
      </c>
      <c r="D26">
        <f>B26-$B$11</f>
        <v>52</v>
      </c>
      <c r="E26">
        <f>$B$5*(1+$B$7)^A26</f>
        <v>400258.0546419202</v>
      </c>
      <c r="F26">
        <f>$B$6*$B$9^A26</f>
        <v>6.69</v>
      </c>
      <c r="G26">
        <f>E26/F26</f>
        <v>59829.30562659495</v>
      </c>
      <c r="H26">
        <f>(1+$B$8)^A26</f>
        <v>1.4257608868461789</v>
      </c>
      <c r="I26">
        <f>G26/H26</f>
        <v>41963.07121240993</v>
      </c>
      <c r="J26">
        <f>SUM($I$14:I26)</f>
        <v>515131.0054927257</v>
      </c>
      <c r="K26">
        <f>M25</f>
        <v>2733761.1142478976</v>
      </c>
      <c r="L26">
        <f>K26-G26</f>
        <v>2673931.8086213022</v>
      </c>
      <c r="M26">
        <f>L26*(1+$B$8)</f>
        <v>2754149.762879941</v>
      </c>
    </row>
    <row r="27">
      <c r="A27">
        <f>A26+1</f>
        <v>13</v>
      </c>
      <c r="B27">
        <f>$B$4+A27</f>
        <v>2039</v>
      </c>
      <c r="C27">
        <f>B27-$B$11</f>
        <v>53</v>
      </c>
      <c r="D27">
        <f>B27-$B$11</f>
        <v>53</v>
      </c>
      <c r="E27">
        <f>$B$5*(1+$B$7)^A27</f>
        <v>416268.376827597</v>
      </c>
      <c r="F27">
        <f>$B$6*$B$9^A27</f>
        <v>6.69</v>
      </c>
      <c r="G27">
        <f>E27/F27</f>
        <v>62222.47785165875</v>
      </c>
      <c r="H27">
        <f>(1+$B$8)^A27</f>
        <v>1.4685337134515644</v>
      </c>
      <c r="I27">
        <f>G27/H27</f>
        <v>42370.47967078285</v>
      </c>
      <c r="J27">
        <f>SUM($I$14:I27)</f>
        <v>557501.4851635086</v>
      </c>
      <c r="K27">
        <f>M26</f>
        <v>2754149.762879941</v>
      </c>
      <c r="L27">
        <f>K27-G27</f>
        <v>2691927.285028283</v>
      </c>
      <c r="M27">
        <f>L27*(1+$B$8)</f>
        <v>2772685.1035791314</v>
      </c>
    </row>
    <row r="28">
      <c r="A28">
        <f>A27+1</f>
        <v>14</v>
      </c>
      <c r="B28">
        <f>$B$4+A28</f>
        <v>2040</v>
      </c>
      <c r="C28">
        <f>B28-$B$11</f>
        <v>54</v>
      </c>
      <c r="D28">
        <f>B28-$B$11</f>
        <v>54</v>
      </c>
      <c r="E28">
        <f>$B$5*(1+$B$7)^A28</f>
        <v>432919.1119007009</v>
      </c>
      <c r="F28">
        <f>$B$6*$B$9^A28</f>
        <v>6.69</v>
      </c>
      <c r="G28">
        <f>E28/F28</f>
        <v>64711.37696572509</v>
      </c>
      <c r="H28">
        <f>(1+$B$8)^A28</f>
        <v>1.5125897248551112</v>
      </c>
      <c r="I28">
        <f>G28/H28</f>
        <v>42781.84355108171</v>
      </c>
      <c r="J28">
        <f>SUM($I$14:I28)</f>
        <v>600283.3287145903</v>
      </c>
      <c r="K28">
        <f>M27</f>
        <v>2772685.1035791314</v>
      </c>
      <c r="L28">
        <f>K28-G28</f>
        <v>2707973.7266134066</v>
      </c>
      <c r="M28">
        <f>L28*(1+$B$8)</f>
        <v>2789212.9384118086</v>
      </c>
    </row>
    <row r="29">
      <c r="A29">
        <f>A28+1</f>
        <v>15</v>
      </c>
      <c r="B29">
        <f>$B$4+A29</f>
        <v>2041</v>
      </c>
      <c r="C29">
        <f>B29-$B$11</f>
        <v>55</v>
      </c>
      <c r="D29">
        <f>B29-$B$11</f>
        <v>55</v>
      </c>
      <c r="E29">
        <f>$B$5*(1+$B$7)^A29</f>
        <v>450235.87637672893</v>
      </c>
      <c r="F29">
        <f>$B$6*$B$9^A29</f>
        <v>6.69</v>
      </c>
      <c r="G29">
        <f>E29/F29</f>
        <v>67299.8320443541</v>
      </c>
      <c r="H29">
        <f>(1+$B$8)^A29</f>
        <v>1.5579674166007647</v>
      </c>
      <c r="I29">
        <f>G29/H29</f>
        <v>43197.20125546114</v>
      </c>
      <c r="J29">
        <f>SUM($I$14:I29)</f>
        <v>643480.5299700513</v>
      </c>
      <c r="K29">
        <f>M28</f>
        <v>2789212.9384118086</v>
      </c>
      <c r="L29">
        <f>K29-G29</f>
        <v>2721913.106367454</v>
      </c>
      <c r="M29">
        <f>L29*(1+$B$8)</f>
        <v>2803570.499558478</v>
      </c>
    </row>
    <row r="30">
      <c r="A30">
        <f>A29+1</f>
        <v>16</v>
      </c>
      <c r="B30">
        <f>$B$4+A30</f>
        <v>2042</v>
      </c>
      <c r="C30">
        <f>B30-$B$11</f>
        <v>56</v>
      </c>
      <c r="D30">
        <f>B30-$B$11</f>
        <v>56</v>
      </c>
      <c r="E30">
        <f>$B$5*(1+$B$7)^A30</f>
        <v>468245.3114317981</v>
      </c>
      <c r="F30">
        <f>$B$6*$B$9^A30</f>
        <v>6.69</v>
      </c>
      <c r="G30">
        <f>E30/F30</f>
        <v>69991.82532612827</v>
      </c>
      <c r="H30">
        <f>(1+$B$8)^A30</f>
        <v>1.6047064390987873</v>
      </c>
      <c r="I30">
        <f>G30/H30</f>
        <v>43616.59155891222</v>
      </c>
      <c r="J30">
        <f>SUM($I$14:I30)</f>
        <v>687097.1215289636</v>
      </c>
      <c r="K30">
        <f>M29</f>
        <v>2803570.499558478</v>
      </c>
      <c r="L30">
        <f>K30-G30</f>
        <v>2733578.6742323497</v>
      </c>
      <c r="M30">
        <f>L30*(1+$B$8)</f>
        <v>2815586.03445932</v>
      </c>
    </row>
    <row r="31">
      <c r="A31">
        <f>A30+1</f>
        <v>17</v>
      </c>
      <c r="B31">
        <f>$B$4+A31</f>
        <v>2043</v>
      </c>
      <c r="C31">
        <f>B31-$B$11</f>
        <v>57</v>
      </c>
      <c r="D31">
        <f>B31-$B$11</f>
        <v>57</v>
      </c>
      <c r="E31">
        <f>$B$5*(1+$B$7)^A31</f>
        <v>486975.12388907</v>
      </c>
      <c r="F31">
        <f>$B$6*$B$9^A31</f>
        <v>6.69</v>
      </c>
      <c r="G31">
        <f>E31/F31</f>
        <v>72791.4983391734</v>
      </c>
      <c r="H31">
        <f>(1+$B$8)^A31</f>
        <v>1.6528476322717514</v>
      </c>
      <c r="I31">
        <f>G31/H31</f>
        <v>44040.05361288224</v>
      </c>
      <c r="J31">
        <f>SUM($I$14:I31)</f>
        <v>731137.1751418458</v>
      </c>
      <c r="K31">
        <f>M30</f>
        <v>2815586.03445932</v>
      </c>
      <c r="L31">
        <f>K31-G31</f>
        <v>2742794.536120147</v>
      </c>
      <c r="M31">
        <f>L31*(1+$B$8)</f>
        <v>2825078.372203751</v>
      </c>
    </row>
    <row r="32">
      <c r="A32">
        <f>A31+1</f>
        <v>18</v>
      </c>
      <c r="B32">
        <f>$B$4+A32</f>
        <v>2044</v>
      </c>
      <c r="C32">
        <f>B32-$B$11</f>
        <v>58</v>
      </c>
      <c r="D32">
        <f>B32-$B$11</f>
        <v>58</v>
      </c>
      <c r="E32">
        <f>$B$5*(1+$B$7)^A32</f>
        <v>506454.1288446328</v>
      </c>
      <c r="F32">
        <f>$B$6*$B$9^A32</f>
        <v>6.69</v>
      </c>
      <c r="G32">
        <f>E32/F32</f>
        <v>75703.15827274033</v>
      </c>
      <c r="H32">
        <f>(1+$B$8)^A32</f>
        <v>1.7024330612399037</v>
      </c>
      <c r="I32">
        <f>G32/H32</f>
        <v>44467.62694892965</v>
      </c>
      <c r="J32">
        <f>SUM($I$14:I32)</f>
        <v>775604.8020907755</v>
      </c>
      <c r="K32">
        <f>M31</f>
        <v>2825078.372203751</v>
      </c>
      <c r="L32">
        <f>K32-G32</f>
        <v>2749375.2139310106</v>
      </c>
      <c r="M32">
        <f>L32*(1+$B$8)</f>
        <v>2831856.4703489407</v>
      </c>
    </row>
    <row r="33">
      <c r="A33">
        <f>A32+1</f>
        <v>19</v>
      </c>
      <c r="B33">
        <f>$B$4+A33</f>
        <v>2045</v>
      </c>
      <c r="C33">
        <f>B33-$B$11</f>
        <v>59</v>
      </c>
      <c r="D33">
        <f>B33-$B$11</f>
        <v>59</v>
      </c>
      <c r="E33">
        <f>$B$5*(1+$B$7)^A33</f>
        <v>526712.293998418</v>
      </c>
      <c r="F33">
        <f>$B$6*$B$9^A33</f>
        <v>6.69</v>
      </c>
      <c r="G33">
        <f>E33/F33</f>
        <v>78731.28460364994</v>
      </c>
      <c r="H33">
        <f>(1+$B$8)^A33</f>
        <v>1.753506053077101</v>
      </c>
      <c r="I33">
        <f>G33/H33</f>
        <v>44899.35148241439</v>
      </c>
      <c r="J33">
        <f>SUM($I$14:I33)</f>
        <v>820504.15357319</v>
      </c>
      <c r="K33">
        <f>M32</f>
        <v>2831856.4703489407</v>
      </c>
      <c r="L33">
        <f>K33-G33</f>
        <v>2753125.185745291</v>
      </c>
      <c r="M33">
        <f>L33*(1+$B$8)</f>
        <v>2835718.94131765</v>
      </c>
    </row>
    <row r="34">
      <c r="A34">
        <f>A33+1</f>
        <v>20</v>
      </c>
      <c r="B34">
        <f>$B$4+A34</f>
        <v>2046</v>
      </c>
      <c r="C34">
        <f>B34-$B$11</f>
        <v>60</v>
      </c>
      <c r="D34">
        <f>B34-$B$11</f>
        <v>60</v>
      </c>
      <c r="E34">
        <f>$B$5*(1+$B$7)^A34</f>
        <v>547780.7857583549</v>
      </c>
      <c r="F34">
        <f>$B$6*$B$9^A34</f>
        <v>6.69</v>
      </c>
      <c r="G34">
        <f>E34/F34</f>
        <v>81880.53598779594</v>
      </c>
      <c r="H34">
        <f>(1+$B$8)^A34</f>
        <v>1.8061112346694137</v>
      </c>
      <c r="I34">
        <f>G34/H34</f>
        <v>45335.267516224245</v>
      </c>
      <c r="J34">
        <f>SUM($I$14:I34)</f>
        <v>865839.4210894142</v>
      </c>
      <c r="K34">
        <f>M33</f>
        <v>2835718.94131765</v>
      </c>
      <c r="L34">
        <f>K34-G34</f>
        <v>2753838.405329854</v>
      </c>
      <c r="M34">
        <f>L34*(1+$B$8)</f>
        <v>2836453.5574897495</v>
      </c>
    </row>
    <row r="35">
      <c r="A35">
        <f>A34+1</f>
        <v>21</v>
      </c>
      <c r="B35">
        <f>$B$4+A35</f>
        <v>2047</v>
      </c>
      <c r="C35">
        <f>B35-$B$11</f>
        <v>61</v>
      </c>
      <c r="D35">
        <f>B35-$B$11</f>
        <v>61</v>
      </c>
      <c r="E35">
        <f>$B$5*(1+$B$7)^A35</f>
        <v>569692.017188689</v>
      </c>
      <c r="F35">
        <f>$B$6*$B$9^A35</f>
        <v>6.69</v>
      </c>
      <c r="G35">
        <f>E35/F35</f>
        <v>85155.75742730778</v>
      </c>
      <c r="H35">
        <f>(1+$B$8)^A35</f>
        <v>1.860294571709496</v>
      </c>
      <c r="I35">
        <f>G35/H35</f>
        <v>45775.415744537095</v>
      </c>
      <c r="J35">
        <f>SUM($I$14:I35)</f>
        <v>911614.8368339513</v>
      </c>
      <c r="K35">
        <f>M34</f>
        <v>2836453.5574897495</v>
      </c>
      <c r="L35">
        <f>K35-G35</f>
        <v>2751297.8000624417</v>
      </c>
      <c r="M35">
        <f>L35*(1+$B$8)</f>
        <v>2833836.7340643154</v>
      </c>
    </row>
    <row r="36">
      <c r="A36">
        <f>A35+1</f>
        <v>22</v>
      </c>
      <c r="B36">
        <f>$B$4+A36</f>
        <v>2048</v>
      </c>
      <c r="C36">
        <f>B36-$B$11</f>
        <v>62</v>
      </c>
      <c r="D36">
        <f>B36-$B$11</f>
        <v>62</v>
      </c>
      <c r="E36">
        <f>$B$5*(1+$B$7)^A36</f>
        <v>592479.6978762366</v>
      </c>
      <c r="F36">
        <f>$B$6*$B$9^A36</f>
        <v>6.69</v>
      </c>
      <c r="G36">
        <f>E36/F36</f>
        <v>88561.9877244001</v>
      </c>
      <c r="H36">
        <f>(1+$B$8)^A36</f>
        <v>1.916103408860781</v>
      </c>
      <c r="I36">
        <f>G36/H36</f>
        <v>46219.83725661998</v>
      </c>
      <c r="J36">
        <f>SUM($I$14:I36)</f>
        <v>957834.6740905711</v>
      </c>
      <c r="K36">
        <f>M35</f>
        <v>2833836.7340643154</v>
      </c>
      <c r="L36">
        <f>K36-G36</f>
        <v>2745274.746339915</v>
      </c>
      <c r="M36">
        <f>L36*(1+$B$8)</f>
        <v>2827632.988730112</v>
      </c>
    </row>
    <row r="37">
      <c r="A37">
        <f>A36+1</f>
        <v>23</v>
      </c>
      <c r="B37">
        <f>$B$4+A37</f>
        <v>2049</v>
      </c>
      <c r="C37">
        <f>B37-$B$11</f>
        <v>63</v>
      </c>
      <c r="D37">
        <f>B37-$B$11</f>
        <v>63</v>
      </c>
      <c r="E37">
        <f>$B$5*(1+$B$7)^A37</f>
        <v>616178.8857912861</v>
      </c>
      <c r="F37">
        <f>$B$6*$B$9^A37</f>
        <v>6.69</v>
      </c>
      <c r="G37">
        <f>E37/F37</f>
        <v>92104.4672333761</v>
      </c>
      <c r="H37">
        <f>(1+$B$8)^A37</f>
        <v>1.9735865111266047</v>
      </c>
      <c r="I37">
        <f>G37/H37</f>
        <v>46668.57354066484</v>
      </c>
      <c r="J37">
        <f>SUM($I$14:I37)</f>
        <v>1004503.2476312361</v>
      </c>
      <c r="K37">
        <f>M36</f>
        <v>2827632.988730112</v>
      </c>
      <c r="L37">
        <f>K37-G37</f>
        <v>2735528.5214967364</v>
      </c>
      <c r="M37">
        <f>L37*(1+$B$8)</f>
        <v>2817594.377141638</v>
      </c>
    </row>
    <row r="38">
      <c r="A38">
        <f>A37+1</f>
        <v>24</v>
      </c>
      <c r="B38">
        <f>$B$4+A38</f>
        <v>2050</v>
      </c>
      <c r="C38">
        <f>B38-$B$11</f>
        <v>64</v>
      </c>
      <c r="D38">
        <f>B38-$B$11</f>
        <v>64</v>
      </c>
      <c r="E38">
        <f>$B$5*(1+$B$7)^A38</f>
        <v>640826.0412229375</v>
      </c>
      <c r="F38">
        <f>$B$6*$B$9^A38</f>
        <v>6.69</v>
      </c>
      <c r="G38">
        <f>E38/F38</f>
        <v>95788.64592271113</v>
      </c>
      <c r="H38">
        <f>(1+$B$8)^A38</f>
        <v>2.0327941064604027</v>
      </c>
      <c r="I38">
        <f>G38/H38</f>
        <v>47121.66648766158</v>
      </c>
      <c r="J38">
        <f>SUM($I$14:I38)</f>
        <v>1051624.9141188976</v>
      </c>
      <c r="K38">
        <f>M37</f>
        <v>2817594.377141638</v>
      </c>
      <c r="L38">
        <f>K38-G38</f>
        <v>2721805.731218927</v>
      </c>
      <c r="M38">
        <f>L38*(1+$B$8)</f>
        <v>2803459.903155495</v>
      </c>
    </row>
    <row r="39">
      <c r="A39">
        <f>A38+1</f>
        <v>25</v>
      </c>
      <c r="B39">
        <f>$B$4+A39</f>
        <v>2051</v>
      </c>
      <c r="C39">
        <f>B39-$B$11</f>
        <v>65</v>
      </c>
      <c r="D39">
        <f>B39-$B$11</f>
        <v>65</v>
      </c>
      <c r="E39">
        <f>$B$5*(1+$B$7)^A39</f>
        <v>666459.082871855</v>
      </c>
      <c r="F39">
        <f>$B$6*$B$9^A39</f>
        <v>6.69</v>
      </c>
      <c r="G39">
        <f>E39/F39</f>
        <v>99620.1917596196</v>
      </c>
      <c r="H39">
        <f>(1+$B$8)^A39</f>
        <v>2.0937779296542147</v>
      </c>
      <c r="I39">
        <f>G39/H39</f>
        <v>47579.15839530878</v>
      </c>
      <c r="J39">
        <f>SUM($I$14:I39)</f>
        <v>1099204.0725142066</v>
      </c>
      <c r="K39">
        <f>M38</f>
        <v>2803459.903155495</v>
      </c>
      <c r="L39">
        <f>K39-G39</f>
        <v>2703839.711395875</v>
      </c>
      <c r="M39">
        <f>L39*(1+$B$8)</f>
        <v>2784954.902737752</v>
      </c>
    </row>
    <row r="40">
      <c r="A40">
        <f>A39+1</f>
        <v>26</v>
      </c>
      <c r="B40">
        <f>$B$4+A40</f>
        <v>2052</v>
      </c>
      <c r="C40">
        <f>B40-$B$11</f>
        <v>66</v>
      </c>
      <c r="D40">
        <f>B40-$B$11</f>
        <v>66</v>
      </c>
      <c r="E40">
        <f>$B$5*(1+$B$7)^A40</f>
        <v>693117.4461867292</v>
      </c>
      <c r="F40">
        <f>$B$6*$B$9^A40</f>
        <v>6.69</v>
      </c>
      <c r="G40">
        <f>E40/F40</f>
        <v>103604.99943000438</v>
      </c>
      <c r="H40">
        <f>(1+$B$8)^A40</f>
        <v>2.1565912675438415</v>
      </c>
      <c r="I40">
        <f>G40/H40</f>
        <v>48041.09197196227</v>
      </c>
      <c r="J40">
        <f>SUM($I$14:I40)</f>
        <v>1147245.164486169</v>
      </c>
      <c r="K40">
        <f>M39</f>
        <v>2784954.902737752</v>
      </c>
      <c r="L40">
        <f>K40-G40</f>
        <v>2681349.9033077476</v>
      </c>
      <c r="M40">
        <f>L40*(1+$B$8)</f>
        <v>2761790.40040698</v>
      </c>
    </row>
    <row r="41">
      <c r="A41">
        <f>A40+1</f>
        <v>27</v>
      </c>
      <c r="B41">
        <f>$B$4+A41</f>
        <v>2053</v>
      </c>
      <c r="C41">
        <f>B41-$B$11</f>
        <v>67</v>
      </c>
      <c r="D41">
        <f>B41-$B$11</f>
        <v>67</v>
      </c>
      <c r="E41">
        <f>$B$5*(1+$B$7)^A41</f>
        <v>720842.1440341984</v>
      </c>
      <c r="F41">
        <f>$B$6*$B$9^A41</f>
        <v>6.69</v>
      </c>
      <c r="G41">
        <f>E41/F41</f>
        <v>107749.19940720455</v>
      </c>
      <c r="H41">
        <f>(1+$B$8)^A41</f>
        <v>2.2212890055701564</v>
      </c>
      <c r="I41">
        <f>G41/H41</f>
        <v>48507.510340622095</v>
      </c>
      <c r="J41">
        <f>SUM($I$14:I41)</f>
        <v>1195752.6748267906</v>
      </c>
      <c r="K41">
        <f>M40</f>
        <v>2761790.40040698</v>
      </c>
      <c r="L41">
        <f>K41-G41</f>
        <v>2654041.2009997754</v>
      </c>
      <c r="M41">
        <f>L41*(1+$B$8)</f>
        <v>2733662.4370297682</v>
      </c>
    </row>
    <row r="42">
      <c r="A42">
        <f>A41+1</f>
        <v>28</v>
      </c>
      <c r="B42">
        <f>$B$4+A42</f>
        <v>2054</v>
      </c>
      <c r="C42">
        <f>B42-$B$11</f>
        <v>68</v>
      </c>
      <c r="D42">
        <f>B42-$B$11</f>
        <v>68</v>
      </c>
      <c r="E42">
        <f>$B$5*(1+$B$7)^A42</f>
        <v>749675.8297955663</v>
      </c>
      <c r="F42">
        <f>$B$6*$B$9^A42</f>
        <v>6.69</v>
      </c>
      <c r="G42">
        <f>E42/F42</f>
        <v>112059.16738349272</v>
      </c>
      <c r="H42">
        <f>(1+$B$8)^A42</f>
        <v>2.2879276757372606</v>
      </c>
      <c r="I42">
        <f>G42/H42</f>
        <v>48978.45704295823</v>
      </c>
      <c r="J42">
        <f>SUM($I$14:I42)</f>
        <v>1244731.131869749</v>
      </c>
      <c r="K42">
        <f>M41</f>
        <v>2733662.4370297682</v>
      </c>
      <c r="L42">
        <f>K42-G42</f>
        <v>2621603.269646276</v>
      </c>
      <c r="M42">
        <f>L42*(1+$B$8)</f>
        <v>2700251.367735664</v>
      </c>
    </row>
    <row r="43">
      <c r="A43">
        <f>A42+1</f>
        <v>29</v>
      </c>
      <c r="B43">
        <f>$B$4+A43</f>
        <v>2055</v>
      </c>
      <c r="C43">
        <f>B43-$B$11</f>
        <v>69</v>
      </c>
      <c r="D43">
        <f>B43-$B$11</f>
        <v>69</v>
      </c>
      <c r="E43">
        <f>$B$5*(1+$B$7)^A43</f>
        <v>779662.862987389</v>
      </c>
      <c r="F43">
        <f>$B$6*$B$9^A43</f>
        <v>6.69</v>
      </c>
      <c r="G43">
        <f>E43/F43</f>
        <v>116541.53407883242</v>
      </c>
      <c r="H43">
        <f>(1+$B$8)^A43</f>
        <v>2.356565506009379</v>
      </c>
      <c r="I43">
        <f>G43/H43</f>
        <v>49453.97604337531</v>
      </c>
      <c r="J43">
        <f>SUM($I$14:I43)</f>
        <v>1294185.1079131246</v>
      </c>
      <c r="K43">
        <f>M42</f>
        <v>2700251.367735664</v>
      </c>
      <c r="L43">
        <f>K43-G43</f>
        <v>2583709.8336568316</v>
      </c>
      <c r="M43">
        <f>L43*(1+$B$8)</f>
        <v>2661221.1286665364</v>
      </c>
    </row>
    <row r="44">
      <c r="A44">
        <f>A43+1</f>
        <v>30</v>
      </c>
      <c r="B44">
        <f>$B$4+A44</f>
        <v>2056</v>
      </c>
      <c r="C44">
        <f>B44-$B$11</f>
        <v>70</v>
      </c>
      <c r="D44">
        <f>B44-$B$11</f>
        <v>70</v>
      </c>
      <c r="E44">
        <f>$B$5*(1+$B$7)^A44</f>
        <v>810849.3775068845</v>
      </c>
      <c r="F44">
        <f>$B$6*$B$9^A44</f>
        <v>6.69</v>
      </c>
      <c r="G44">
        <f>E44/F44</f>
        <v>121203.19544198574</v>
      </c>
      <c r="H44">
        <f>(1+$B$8)^A44</f>
        <v>2.4272624711896604</v>
      </c>
      <c r="I44">
        <f>G44/H44</f>
        <v>49934.11173311681</v>
      </c>
      <c r="J44">
        <f>SUM($I$14:I44)</f>
        <v>1344119.219646241</v>
      </c>
      <c r="K44">
        <f>M43</f>
        <v>2661221.1286665364</v>
      </c>
      <c r="L44">
        <f>K44-G44</f>
        <v>2540017.9332245514</v>
      </c>
      <c r="M44">
        <f>L44*(1+$B$8)</f>
        <v>2616218.4712212877</v>
      </c>
    </row>
    <row r="45">
      <c r="A45">
        <f>A44+1</f>
        <v>31</v>
      </c>
      <c r="B45">
        <f>$B$4+A45</f>
        <v>2057</v>
      </c>
      <c r="C45">
        <f>B45-$B$11</f>
        <v>71</v>
      </c>
      <c r="D45">
        <f>B45-$B$11</f>
        <v>71</v>
      </c>
      <c r="E45">
        <f>$B$5*(1+$B$7)^A45</f>
        <v>843283.3526071598</v>
      </c>
      <c r="F45">
        <f>$B$6*$B$9^A45</f>
        <v>6.69</v>
      </c>
      <c r="G45">
        <f>E45/F45</f>
        <v>126051.32325966515</v>
      </c>
      <c r="H45">
        <f>(1+$B$8)^A45</f>
        <v>2.5000803453253497</v>
      </c>
      <c r="I45">
        <f>G45/H45</f>
        <v>50418.908934409206</v>
      </c>
      <c r="J45">
        <f>SUM($I$14:I45)</f>
        <v>1394538.1285806503</v>
      </c>
      <c r="K45">
        <f>M44</f>
        <v>2616218.4712212877</v>
      </c>
      <c r="L45">
        <f>K45-G45</f>
        <v>2490167.1479616226</v>
      </c>
      <c r="M45">
        <f>L45*(1+$B$8)</f>
        <v>2564872.162400471</v>
      </c>
    </row>
    <row r="46">
      <c r="A46">
        <f>A45+1</f>
        <v>32</v>
      </c>
      <c r="B46">
        <f>$B$4+A46</f>
        <v>2058</v>
      </c>
      <c r="C46">
        <f>B46-$B$11</f>
        <v>72</v>
      </c>
      <c r="D46">
        <f>B46-$B$11</f>
        <v>72</v>
      </c>
      <c r="E46">
        <f>$B$5*(1+$B$7)^A46</f>
        <v>877014.6867114463</v>
      </c>
      <c r="F46">
        <f>$B$6*$B$9^A46</f>
        <v>6.69</v>
      </c>
      <c r="G46">
        <f>E46/F46</f>
        <v>131093.37619005176</v>
      </c>
      <c r="H46">
        <f>(1+$B$8)^A46</f>
        <v>2.5750827556851106</v>
      </c>
      <c r="I46">
        <f>G46/H46</f>
        <v>50908.41290464619</v>
      </c>
      <c r="J46">
        <f>SUM($I$14:I46)</f>
        <v>1445446.5414852963</v>
      </c>
      <c r="K46">
        <f>M45</f>
        <v>2564872.162400471</v>
      </c>
      <c r="L46">
        <f>K46-G46</f>
        <v>2433778.786210419</v>
      </c>
      <c r="M46">
        <f>L46*(1+$B$8)</f>
        <v>2506792.149796732</v>
      </c>
    </row>
    <row r="47">
      <c r="A47">
        <f>A46+1</f>
        <v>33</v>
      </c>
      <c r="B47">
        <f>$B$4+A47</f>
        <v>2059</v>
      </c>
      <c r="C47">
        <f>B47-$B$11</f>
        <v>73</v>
      </c>
      <c r="D47">
        <f>B47-$B$11</f>
        <v>73</v>
      </c>
      <c r="E47">
        <f>$B$5*(1+$B$7)^A47</f>
        <v>912095.2741799041</v>
      </c>
      <c r="F47">
        <f>$B$6*$B$9^A47</f>
        <v>6.69</v>
      </c>
      <c r="G47">
        <f>E47/F47</f>
        <v>136337.11123765382</v>
      </c>
      <c r="H47">
        <f>(1+$B$8)^A47</f>
        <v>2.652335238355664</v>
      </c>
      <c r="I47">
        <f>G47/H47</f>
        <v>51402.66934061363</v>
      </c>
      <c r="J47">
        <f>SUM($I$14:I47)</f>
        <v>1496849.21082591</v>
      </c>
      <c r="K47">
        <f>M46</f>
        <v>2506792.149796732</v>
      </c>
      <c r="L47">
        <f>K47-G47</f>
        <v>2370455.038559078</v>
      </c>
      <c r="M47">
        <f>L47*(1+$B$8)</f>
        <v>2441568.6897158506</v>
      </c>
    </row>
    <row r="48">
      <c r="A48">
        <f>A47+1</f>
        <v>34</v>
      </c>
      <c r="B48">
        <f>$B$4+A48</f>
        <v>2060</v>
      </c>
      <c r="C48">
        <f>B48-$B$11</f>
        <v>74</v>
      </c>
      <c r="D48">
        <f>B48-$B$11</f>
        <v>74</v>
      </c>
      <c r="E48">
        <f>$B$5*(1+$B$7)^A48</f>
        <v>948579.0851471003</v>
      </c>
      <c r="F48">
        <f>$B$6*$B$9^A48</f>
        <v>6.69</v>
      </c>
      <c r="G48">
        <f>E48/F48</f>
        <v>141790.59568715998</v>
      </c>
      <c r="H48">
        <f>(1+$B$8)^A48</f>
        <v>2.731905295506334</v>
      </c>
      <c r="I48">
        <f>G48/H48</f>
        <v>51901.724382755514</v>
      </c>
      <c r="J48">
        <f>SUM($I$14:I48)</f>
        <v>1548750.935208666</v>
      </c>
      <c r="K48">
        <f>M47</f>
        <v>2441568.6897158506</v>
      </c>
      <c r="L48">
        <f>K48-G48</f>
        <v>2299778.0940286904</v>
      </c>
      <c r="M48">
        <f>L48*(1+$B$8)</f>
        <v>2368771.4368495513</v>
      </c>
    </row>
    <row r="49">
      <c r="A49">
        <f>A48+1</f>
        <v>35</v>
      </c>
      <c r="B49">
        <f>$B$4+A49</f>
        <v>2061</v>
      </c>
      <c r="C49">
        <f>B49-$B$11</f>
        <v>75</v>
      </c>
      <c r="D49">
        <f>B49-$B$11</f>
        <v>75</v>
      </c>
      <c r="E49">
        <f>$B$5*(1+$B$7)^A49</f>
        <v>986522.2485529843</v>
      </c>
      <c r="F49">
        <f>$B$6*$B$9^A49</f>
        <v>6.69</v>
      </c>
      <c r="G49">
        <f>E49/F49</f>
        <v>147462.21951464642</v>
      </c>
      <c r="H49">
        <f>(1+$B$8)^A49</f>
        <v>2.813862454371524</v>
      </c>
      <c r="I49">
        <f>G49/H49</f>
        <v>52405.62461948129</v>
      </c>
      <c r="J49">
        <f>SUM($I$14:I49)</f>
        <v>1601156.5598281468</v>
      </c>
      <c r="K49">
        <f>M48</f>
        <v>2368771.4368495513</v>
      </c>
      <c r="L49">
        <f>K49-G49</f>
        <v>2221309.2173349042</v>
      </c>
      <c r="M49">
        <f>L49*(1+$B$8)</f>
        <v>2287948.4938549516</v>
      </c>
    </row>
    <row r="50">
      <c r="A50">
        <f>A49+1</f>
        <v>36</v>
      </c>
      <c r="B50">
        <f>$B$4+A50</f>
        <v>2062</v>
      </c>
      <c r="C50">
        <f>B50-$B$11</f>
        <v>76</v>
      </c>
      <c r="D50">
        <f>B50-$B$11</f>
        <v>76</v>
      </c>
      <c r="E50">
        <f>$B$5*(1+$B$7)^A50</f>
        <v>1025983.1384951038</v>
      </c>
      <c r="F50">
        <f>$B$6*$B$9^A50</f>
        <v>6.69</v>
      </c>
      <c r="G50">
        <f>E50/F50</f>
        <v>153360.70829523224</v>
      </c>
      <c r="H50">
        <f>(1+$B$8)^A50</f>
        <v>2.89827832800267</v>
      </c>
      <c r="I50">
        <f>G50/H50</f>
        <v>52914.41709151509</v>
      </c>
      <c r="J50">
        <f>SUM($I$14:I50)</f>
        <v>1654070.976919662</v>
      </c>
      <c r="K50">
        <f>M49</f>
        <v>2287948.4938549516</v>
      </c>
      <c r="L50">
        <f>K50-G50</f>
        <v>2134587.7855597194</v>
      </c>
      <c r="M50">
        <f>L50*(1+$B$8)</f>
        <v>2198625.419126511</v>
      </c>
    </row>
    <row r="51">
      <c r="A51">
        <f>A50+1</f>
        <v>37</v>
      </c>
      <c r="B51">
        <f>$B$4+A51</f>
        <v>2063</v>
      </c>
      <c r="C51">
        <f>B51-$B$11</f>
        <v>77</v>
      </c>
      <c r="D51">
        <f>B51-$B$11</f>
        <v>77</v>
      </c>
      <c r="E51">
        <f>$B$5*(1+$B$7)^A51</f>
        <v>1067022.4640349078</v>
      </c>
      <c r="F51">
        <f>$B$6*$B$9^A51</f>
        <v>6.69</v>
      </c>
      <c r="G51">
        <f>E51/F51</f>
        <v>159495.13662704153</v>
      </c>
      <c r="H51">
        <f>(1+$B$8)^A51</f>
        <v>2.9852266778427494</v>
      </c>
      <c r="I51">
        <f>G51/H51</f>
        <v>53428.14929628708</v>
      </c>
      <c r="J51">
        <f>SUM($I$14:I51)</f>
        <v>1707499.1262159492</v>
      </c>
      <c r="K51">
        <f>M50</f>
        <v>2198625.419126511</v>
      </c>
      <c r="L51">
        <f>K51-G51</f>
        <v>2039130.2824994696</v>
      </c>
      <c r="M51">
        <f>L51*(1+$B$8)</f>
        <v>2100304.1909744535</v>
      </c>
    </row>
    <row r="52">
      <c r="A52">
        <f>A51+1</f>
        <v>38</v>
      </c>
      <c r="B52">
        <f>$B$4+A52</f>
        <v>2064</v>
      </c>
      <c r="C52">
        <f>B52-$B$11</f>
        <v>78</v>
      </c>
      <c r="D52">
        <f>B52-$B$11</f>
        <v>78</v>
      </c>
      <c r="E52">
        <f>$B$5*(1+$B$7)^A52</f>
        <v>1109703.3625963042</v>
      </c>
      <c r="F52">
        <f>$B$6*$B$9^A52</f>
        <v>6.69</v>
      </c>
      <c r="G52">
        <f>E52/F52</f>
        <v>165874.9420921232</v>
      </c>
      <c r="H52">
        <f>(1+$B$8)^A52</f>
        <v>3.0747834781780323</v>
      </c>
      <c r="I52">
        <f>G52/H52</f>
        <v>53946.869192367536</v>
      </c>
      <c r="J52">
        <f>SUM($I$14:I52)</f>
        <v>1761445.9954083166</v>
      </c>
      <c r="K52">
        <f>M51</f>
        <v>2100304.1909744535</v>
      </c>
      <c r="L52">
        <f>K52-G52</f>
        <v>1934429.2488823305</v>
      </c>
      <c r="M52">
        <f>L52*(1+$B$8)</f>
        <v>1992462.1263488005</v>
      </c>
    </row>
    <row r="53">
      <c r="A53">
        <f>A52+1</f>
        <v>39</v>
      </c>
      <c r="B53">
        <f>$B$4+A53</f>
        <v>2065</v>
      </c>
      <c r="C53">
        <f>B53-$B$11</f>
        <v>79</v>
      </c>
      <c r="D53">
        <f>B53-$B$11</f>
        <v>79</v>
      </c>
      <c r="E53">
        <f>$B$5*(1+$B$7)^A53</f>
        <v>1154091.4971001565</v>
      </c>
      <c r="F53">
        <f>$B$6*$B$9^A53</f>
        <v>6.69</v>
      </c>
      <c r="G53">
        <f>E53/F53</f>
        <v>172509.9397758081</v>
      </c>
      <c r="H53">
        <f>(1+$B$8)^A53</f>
        <v>3.1670269825233732</v>
      </c>
      <c r="I53">
        <f>G53/H53</f>
        <v>54470.62520394393</v>
      </c>
      <c r="J53">
        <f>SUM($I$14:I53)</f>
        <v>1815916.6206122607</v>
      </c>
      <c r="K53">
        <f>M52</f>
        <v>1992462.1263488005</v>
      </c>
      <c r="L53">
        <f>K53-G53</f>
        <v>1819952.1865729922</v>
      </c>
      <c r="M53">
        <f>L53*(1+$B$8)</f>
        <v>1874550.752170182</v>
      </c>
    </row>
    <row r="54">
      <c r="A54">
        <f>A53+1</f>
        <v>40</v>
      </c>
      <c r="B54">
        <f>$B$4+A54</f>
        <v>2066</v>
      </c>
      <c r="C54">
        <f>B54-$B$11</f>
        <v>80</v>
      </c>
      <c r="D54">
        <f>B54-$B$11</f>
        <v>80</v>
      </c>
      <c r="E54">
        <f>$B$5*(1+$B$7)^A54</f>
        <v>1200255.1569841625</v>
      </c>
      <c r="F54">
        <f>$B$6*$B$9^A54</f>
        <v>6.69</v>
      </c>
      <c r="G54">
        <f>E54/F54</f>
        <v>179410.33736684045</v>
      </c>
      <c r="H54">
        <f>(1+$B$8)^A54</f>
        <v>3.262037791999074</v>
      </c>
      <c r="I54">
        <f>G54/H54</f>
        <v>54999.466225341435</v>
      </c>
      <c r="J54">
        <f>SUM($I$14:I54)</f>
        <v>1870916.086837602</v>
      </c>
      <c r="K54">
        <f>M53</f>
        <v>1874550.752170182</v>
      </c>
      <c r="L54">
        <f>K54-G54</f>
        <v>1695140.4148033415</v>
      </c>
      <c r="M54">
        <f>L54*(1+$B$8)</f>
        <v>1745994.627247442</v>
      </c>
    </row>
    <row r="55">
      <c r="A55">
        <f>A54+1</f>
        <v>41</v>
      </c>
      <c r="B55">
        <f>$B$4+A55</f>
        <v>2067</v>
      </c>
      <c r="C55">
        <f>B55-$B$11</f>
        <v>81</v>
      </c>
      <c r="D55">
        <f>B55-$B$11</f>
        <v>81</v>
      </c>
      <c r="E55">
        <f>$B$5*(1+$B$7)^A55</f>
        <v>1248265.363263529</v>
      </c>
      <c r="F55">
        <f>$B$6*$B$9^A55</f>
        <v>6.69</v>
      </c>
      <c r="G55">
        <f>E55/F55</f>
        <v>186586.75086151407</v>
      </c>
      <c r="H55">
        <f>(1+$B$8)^A55</f>
        <v>3.3598989257590466</v>
      </c>
      <c r="I55">
        <f>G55/H55</f>
        <v>55533.44162558747</v>
      </c>
      <c r="J55">
        <f>SUM($I$14:I55)</f>
        <v>1926449.5284631895</v>
      </c>
      <c r="K55">
        <f>M54</f>
        <v>1745994.627247442</v>
      </c>
      <c r="L55">
        <f>K55-G55</f>
        <v>1559407.8763859277</v>
      </c>
      <c r="M55">
        <f>L55*(1+$B$8)</f>
        <v>1606190.1126775055</v>
      </c>
    </row>
    <row r="56">
      <c r="A56">
        <f>A55+1</f>
        <v>42</v>
      </c>
      <c r="B56">
        <f>$B$4+A56</f>
        <v>2068</v>
      </c>
      <c r="C56">
        <f>B56-$B$11</f>
        <v>82</v>
      </c>
      <c r="D56">
        <f>B56-$B$11</f>
        <v>82</v>
      </c>
      <c r="E56">
        <f>$B$5*(1+$B$7)^A56</f>
        <v>1298195.9777940703</v>
      </c>
      <c r="F56">
        <f>$B$6*$B$9^A56</f>
        <v>6.69</v>
      </c>
      <c r="G56">
        <f>E56/F56</f>
        <v>194050.22089597463</v>
      </c>
      <c r="H56">
        <f>(1+$B$8)^A56</f>
        <v>3.460695893531818</v>
      </c>
      <c r="I56">
        <f>G56/H56</f>
        <v>56072.60125302035</v>
      </c>
      <c r="J56">
        <f>SUM($I$14:I56)</f>
        <v>1982522.1297162096</v>
      </c>
      <c r="K56">
        <f>M55</f>
        <v>1606190.1126775055</v>
      </c>
      <c r="L56">
        <f>K56-G56</f>
        <v>1412139.8917815313</v>
      </c>
      <c r="M56">
        <f>L56*(1+$B$8)</f>
        <v>1454504.0885349773</v>
      </c>
    </row>
    <row r="57">
      <c r="A57">
        <f>A56+1</f>
        <v>43</v>
      </c>
      <c r="B57">
        <f>$B$4+A57</f>
        <v>2069</v>
      </c>
      <c r="C57">
        <f>B57-$B$11</f>
        <v>83</v>
      </c>
      <c r="D57">
        <f>B57-$B$11</f>
        <v>83</v>
      </c>
      <c r="E57">
        <f>$B$5*(1+$B$7)^A57</f>
        <v>1350123.816905833</v>
      </c>
      <c r="F57">
        <f>$B$6*$B$9^A57</f>
        <v>6.69</v>
      </c>
      <c r="G57">
        <f>E57/F57</f>
        <v>201812.22973181363</v>
      </c>
      <c r="H57">
        <f>(1+$B$8)^A57</f>
        <v>3.564516770337773</v>
      </c>
      <c r="I57">
        <f>G57/H57</f>
        <v>56616.99543994288</v>
      </c>
      <c r="J57">
        <f>SUM($I$14:I57)</f>
        <v>2039139.1251561528</v>
      </c>
      <c r="K57">
        <f>M56</f>
        <v>1454504.0885349773</v>
      </c>
      <c r="L57">
        <f>K57-G57</f>
        <v>1252691.8588031633</v>
      </c>
      <c r="M57">
        <f>L57*(1+$B$8)</f>
        <v>1290272.6145672582</v>
      </c>
    </row>
    <row r="58">
      <c r="A58">
        <f>A57+1</f>
        <v>44</v>
      </c>
      <c r="B58">
        <f>$B$4+A58</f>
        <v>2070</v>
      </c>
      <c r="C58">
        <f>B58-$B$11</f>
        <v>84</v>
      </c>
      <c r="D58">
        <f>B58-$B$11</f>
        <v>84</v>
      </c>
      <c r="E58">
        <f>$B$5*(1+$B$7)^A58</f>
        <v>1404128.7695820665</v>
      </c>
      <c r="F58">
        <f>$B$6*$B$9^A58</f>
        <v>6.69</v>
      </c>
      <c r="G58">
        <f>E58/F58</f>
        <v>209884.71892108614</v>
      </c>
      <c r="H58">
        <f>(1+$B$8)^A58</f>
        <v>3.671452273447906</v>
      </c>
      <c r="I58">
        <f>G58/H58</f>
        <v>57166.67500732097</v>
      </c>
      <c r="J58">
        <f>SUM($I$14:I58)</f>
        <v>2096305.8001634735</v>
      </c>
      <c r="K58">
        <f>M57</f>
        <v>1290272.6145672582</v>
      </c>
      <c r="L58">
        <f>K58-G58</f>
        <v>1080387.895646172</v>
      </c>
      <c r="M58">
        <f>L58*(1+$B$8)</f>
        <v>1112799.5325155573</v>
      </c>
    </row>
    <row r="59">
      <c r="A59">
        <f>A58+1</f>
        <v>45</v>
      </c>
      <c r="B59">
        <f>$B$4+A59</f>
        <v>2071</v>
      </c>
      <c r="C59">
        <f>B59-$B$11</f>
        <v>85</v>
      </c>
      <c r="D59">
        <f>B59-$B$11</f>
        <v>85</v>
      </c>
      <c r="E59">
        <f>$B$5*(1+$B$7)^A59</f>
        <v>1460293.920365349</v>
      </c>
      <c r="F59">
        <f>$B$6*$B$9^A59</f>
        <v>6.69</v>
      </c>
      <c r="G59">
        <f>E59/F59</f>
        <v>218280.1076779296</v>
      </c>
      <c r="H59">
        <f>(1+$B$8)^A59</f>
        <v>3.781595841651343</v>
      </c>
      <c r="I59">
        <f>G59/H59</f>
        <v>57721.69126952797</v>
      </c>
      <c r="J59">
        <f>SUM($I$14:I59)</f>
        <v>2154027.4914330016</v>
      </c>
      <c r="K59">
        <f>M58</f>
        <v>1112799.5325155573</v>
      </c>
      <c r="L59">
        <f>K59-G59</f>
        <v>894519.4248376277</v>
      </c>
      <c r="M59">
        <f>L59*(1+$B$8)</f>
        <v>921355.0075827566</v>
      </c>
    </row>
    <row r="60">
      <c r="A60">
        <f>A59+1</f>
        <v>46</v>
      </c>
      <c r="B60">
        <f>$B$4+A60</f>
        <v>2072</v>
      </c>
      <c r="C60">
        <f>B60-$B$11</f>
        <v>86</v>
      </c>
      <c r="D60">
        <f>B60-$B$11</f>
        <v>86</v>
      </c>
      <c r="E60">
        <f>$B$5*(1+$B$7)^A60</f>
        <v>1518705.6771799629</v>
      </c>
      <c r="F60">
        <f>$B$6*$B$9^A60</f>
        <v>6.69</v>
      </c>
      <c r="G60">
        <f>E60/F60</f>
        <v>227011.31198504675</v>
      </c>
      <c r="H60">
        <f>(1+$B$8)^A60</f>
        <v>3.895043716900883</v>
      </c>
      <c r="I60">
        <f>G60/H60</f>
        <v>58282.09603913504</v>
      </c>
      <c r="J60">
        <f>SUM($I$14:I60)</f>
        <v>2212309.5874721366</v>
      </c>
      <c r="K60">
        <f>M59</f>
        <v>921355.0075827566</v>
      </c>
      <c r="L60">
        <f>K60-G60</f>
        <v>694343.6955977097</v>
      </c>
      <c r="M60">
        <f>L60*(1+$B$8)</f>
        <v>715174.0064656411</v>
      </c>
    </row>
    <row r="61">
      <c r="A61">
        <f>A60+1</f>
        <v>47</v>
      </c>
      <c r="B61">
        <f>$B$4+A61</f>
        <v>2073</v>
      </c>
      <c r="C61">
        <f>B61-$B$11</f>
        <v>87</v>
      </c>
      <c r="D61">
        <f>B61-$B$11</f>
        <v>87</v>
      </c>
      <c r="E61">
        <f>$B$5*(1+$B$7)^A61</f>
        <v>1579453.9042671616</v>
      </c>
      <c r="F61">
        <f>$B$6*$B$9^A61</f>
        <v>6.69</v>
      </c>
      <c r="G61">
        <f>E61/F61</f>
        <v>236091.76446444864</v>
      </c>
      <c r="H61">
        <f>(1+$B$8)^A61</f>
        <v>4.01189502840791</v>
      </c>
      <c r="I61">
        <f>G61/H61</f>
        <v>58847.941631748</v>
      </c>
      <c r="J61">
        <f>SUM($I$14:I61)</f>
        <v>2271157.529103885</v>
      </c>
      <c r="K61">
        <f>M60</f>
        <v>715174.0064656411</v>
      </c>
      <c r="L61">
        <f>K61-G61</f>
        <v>479082.2420011924</v>
      </c>
      <c r="M61">
        <f>L61*(1+$B$8)</f>
        <v>493454.7092612282</v>
      </c>
    </row>
    <row r="62">
      <c r="A62">
        <f>A61+1</f>
        <v>48</v>
      </c>
      <c r="B62">
        <f>$B$4+A62</f>
        <v>2074</v>
      </c>
      <c r="C62">
        <f>B62-$B$11</f>
        <v>88</v>
      </c>
      <c r="D62">
        <f>B62-$B$11</f>
        <v>88</v>
      </c>
      <c r="E62">
        <f>$B$5*(1+$B$7)^A62</f>
        <v>1642632.060437848</v>
      </c>
      <c r="F62">
        <f>$B$6*$B$9^A62</f>
        <v>6.69</v>
      </c>
      <c r="G62">
        <f>E62/F62</f>
        <v>245535.4350430266</v>
      </c>
      <c r="H62">
        <f>(1+$B$8)^A62</f>
        <v>4.132251879260147</v>
      </c>
      <c r="I62">
        <f>G62/H62</f>
        <v>59419.28087089118</v>
      </c>
      <c r="J62">
        <f>SUM($I$14:I62)</f>
        <v>2330576.8099747756</v>
      </c>
      <c r="K62">
        <f>M61</f>
        <v>493454.7092612282</v>
      </c>
      <c r="L62">
        <f>K62-G62</f>
        <v>247919.2742182016</v>
      </c>
      <c r="M62">
        <f>L62*(1+$B$8)</f>
        <v>255356.85244474767</v>
      </c>
    </row>
    <row r="63">
      <c r="A63">
        <f>A62+1</f>
        <v>49</v>
      </c>
      <c r="B63">
        <f>$B$4+A63</f>
        <v>2075</v>
      </c>
      <c r="C63">
        <f>B63-$B$11</f>
        <v>89</v>
      </c>
      <c r="D63">
        <f>B63-$B$11</f>
        <v>89</v>
      </c>
      <c r="E63">
        <f>$B$5*(1+$B$7)^A63</f>
        <v>1708337.3428553618</v>
      </c>
      <c r="F63">
        <f>$B$6*$B$9^A63</f>
        <v>6.69</v>
      </c>
      <c r="G63">
        <f>E63/F63</f>
        <v>255356.85244474767</v>
      </c>
      <c r="H63">
        <f>(1+$B$8)^A63</f>
        <v>4.256219435637951</v>
      </c>
      <c r="I63">
        <f>G63/H63</f>
        <v>59996.167092938675</v>
      </c>
      <c r="J63">
        <f>SUM($I$14:I63)</f>
        <v>2390572.9770677146</v>
      </c>
      <c r="K63">
        <f>M62</f>
        <v>255356.85244474767</v>
      </c>
      <c r="L63">
        <f>K63-G63</f>
        <v>0</v>
      </c>
      <c r="M63">
        <f>L63*(1+$B$8)</f>
        <v>0</v>
      </c>
    </row>
    <row r="65">
      <c r="A65" t="inlineStr">
        <is>
          <t>Required starting USD</t>
        </is>
      </c>
      <c r="B65">
        <f>SUM(I14:I63)</f>
        <v>2390572.9770677146</v>
      </c>
    </row>
    <row r="66">
      <c r="A66" t="inlineStr">
        <is>
          <t>First payment USD</t>
        </is>
      </c>
      <c r="B66">
        <f>G14</f>
        <v>37369.20777279522</v>
      </c>
    </row>
    <row r="67">
      <c r="A67" t="inlineStr">
        <is>
          <t>Last payment USD</t>
        </is>
      </c>
      <c r="B67">
        <f>G63</f>
        <v>255356.85244474767</v>
      </c>
    </row>
    <row r="68">
      <c r="A68" t="inlineStr">
        <is>
          <t>Final balance USD</t>
        </is>
      </c>
      <c r="B68">
        <f>M63</f>
        <v>0</v>
      </c>
    </row>
    <row r="69">
      <c r="A69" t="inlineStr">
        <is>
          <t>Actual row count</t>
        </is>
      </c>
      <c r="B69">
        <f>COUNT(A14:A63)</f>
        <v>50</v>
      </c>
    </row>
    <row r="71">
      <c r="A71" t="inlineStr">
        <is>
          <t>Final balance tolerance</t>
        </is>
      </c>
      <c r="B71">
        <v>0.000001</v>
      </c>
    </row>
    <row r="72">
      <c r="A72" t="inlineStr">
        <is>
          <t>50 payments end at89; age90 would be a51st payment. Float64 rounding residual &lt;=1e-6 is numerical zero.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3" topLeftCell="A14" activePane="bottomLeft" state="frozen"/>
    </sheetView>
  </sheetViews>
  <cols>
    <col min="1" max="4" width="13" customWidth="1"/>
    <col min="5" max="13" width="24" customWidth="1"/>
  </cols>
  <sheetData>
    <row r="1">
      <c r="A1" t="inlineStr">
        <is>
          <t>CONTROL-FX: 1% annual RMB appreciation</t>
        </is>
      </c>
    </row>
    <row r="2">
      <c r="A2" t="inlineStr">
        <is>
          <t>M00 reference workbook. Human review NOT RUN. Recalculate after opening; no taxes/medical growth/portfolio risk included.</t>
        </is>
      </c>
    </row>
    <row r="4">
      <c r="A4" t="inlineStr">
        <is>
          <t>Start year</t>
        </is>
      </c>
      <c r="B4">
        <v>2026</v>
      </c>
    </row>
    <row r="5">
      <c r="A5" t="inlineStr">
        <is>
          <t>Annual CNY today</t>
        </is>
      </c>
      <c r="B5">
        <v>250000</v>
      </c>
    </row>
    <row r="6">
      <c r="A6" t="inlineStr">
        <is>
          <t>Initial CNY/USD</t>
        </is>
      </c>
      <c r="B6">
        <v>6.69</v>
      </c>
    </row>
    <row r="7">
      <c r="A7" t="inlineStr">
        <is>
          <t>China CPI</t>
        </is>
      </c>
      <c r="B7">
        <v>0.04</v>
      </c>
    </row>
    <row r="8">
      <c r="A8" t="inlineStr">
        <is>
          <t>Nominal USD return</t>
        </is>
      </c>
      <c r="B8">
        <v>0.03</v>
      </c>
    </row>
    <row r="9">
      <c r="A9" t="inlineStr">
        <is>
          <t>Annual FX multiplier</t>
        </is>
      </c>
      <c r="B9">
        <v>0.99</v>
      </c>
    </row>
    <row r="10">
      <c r="A10" t="inlineStr">
        <is>
          <t>Payments</t>
        </is>
      </c>
      <c r="B10">
        <v>50</v>
      </c>
    </row>
    <row r="11">
      <c r="A11" t="inlineStr">
        <is>
          <t>Birth year both</t>
        </is>
      </c>
      <c r="B11">
        <v>1986</v>
      </c>
    </row>
    <row r="13">
      <c r="A13" t="inlineStr">
        <is>
          <t>t</t>
        </is>
      </c>
      <c r="B13" t="inlineStr">
        <is>
          <t>Year</t>
        </is>
      </c>
      <c r="C13" t="inlineStr">
        <is>
          <t>Age A</t>
        </is>
      </c>
      <c r="D13" t="inlineStr">
        <is>
          <t>Age B</t>
        </is>
      </c>
      <c r="E13" t="inlineStr">
        <is>
          <t>Spending CNY</t>
        </is>
      </c>
      <c r="F13" t="inlineStr">
        <is>
          <t>CNY/USD</t>
        </is>
      </c>
      <c r="G13" t="inlineStr">
        <is>
          <t>USD payment</t>
        </is>
      </c>
      <c r="H13" t="inlineStr">
        <is>
          <t>Discount factor</t>
        </is>
      </c>
      <c r="I13" t="inlineStr">
        <is>
          <t>PV payment</t>
        </is>
      </c>
      <c r="J13" t="inlineStr">
        <is>
          <t>Cumulative PV</t>
        </is>
      </c>
      <c r="K13" t="inlineStr">
        <is>
          <t>Opening USD</t>
        </is>
      </c>
      <c r="L13" t="inlineStr">
        <is>
          <t>After withdrawal</t>
        </is>
      </c>
      <c r="M13" t="inlineStr">
        <is>
          <t>End USD</t>
        </is>
      </c>
    </row>
    <row r="14">
      <c r="A14">
        <v>0</v>
      </c>
      <c r="B14">
        <f>$B$4+A14</f>
        <v>2026</v>
      </c>
      <c r="C14">
        <f>B14-$B$11</f>
        <v>40</v>
      </c>
      <c r="D14">
        <f>B14-$B$11</f>
        <v>40</v>
      </c>
      <c r="E14">
        <f>$B$5*(1+$B$7)^A14</f>
        <v>250000</v>
      </c>
      <c r="F14">
        <f>$B$6*$B$9^A14</f>
        <v>6.69</v>
      </c>
      <c r="G14">
        <f>E14/F14</f>
        <v>37369.20777279522</v>
      </c>
      <c r="H14">
        <f>(1+$B$8)^A14</f>
        <v>1</v>
      </c>
      <c r="I14">
        <f>G14/H14</f>
        <v>37369.20777279522</v>
      </c>
      <c r="J14">
        <f>SUM($I$14:I14)</f>
        <v>37369.20777279522</v>
      </c>
      <c r="K14">
        <f>$B$65</f>
        <v>3152520.3411145047</v>
      </c>
      <c r="L14">
        <f>K14-G14</f>
        <v>3115151.1333417096</v>
      </c>
      <c r="M14">
        <f>L14*(1+$B$8)</f>
        <v>3208605.667341961</v>
      </c>
    </row>
    <row r="15">
      <c r="A15">
        <f>A14+1</f>
        <v>1</v>
      </c>
      <c r="B15">
        <f>$B$4+A15</f>
        <v>2027</v>
      </c>
      <c r="C15">
        <f>B15-$B$11</f>
        <v>41</v>
      </c>
      <c r="D15">
        <f>B15-$B$11</f>
        <v>41</v>
      </c>
      <c r="E15">
        <f>$B$5*(1+$B$7)^A15</f>
        <v>260000</v>
      </c>
      <c r="F15">
        <f>$B$6*$B$9^A15</f>
        <v>6.6231</v>
      </c>
      <c r="G15">
        <f>E15/F15</f>
        <v>39256.541498693965</v>
      </c>
      <c r="H15">
        <f>(1+$B$8)^A15</f>
        <v>1.03</v>
      </c>
      <c r="I15">
        <f>G15/H15</f>
        <v>38113.14708611064</v>
      </c>
      <c r="J15">
        <f>SUM($I$14:I15)</f>
        <v>75482.35485890586</v>
      </c>
      <c r="K15">
        <f>M14</f>
        <v>3208605.667341961</v>
      </c>
      <c r="L15">
        <f>K15-G15</f>
        <v>3169349.1258432674</v>
      </c>
      <c r="M15">
        <f>L15*(1+$B$8)</f>
        <v>3264429.5996185644</v>
      </c>
    </row>
    <row r="16">
      <c r="A16">
        <f>A15+1</f>
        <v>2</v>
      </c>
      <c r="B16">
        <f>$B$4+A16</f>
        <v>2028</v>
      </c>
      <c r="C16">
        <f>B16-$B$11</f>
        <v>42</v>
      </c>
      <c r="D16">
        <f>B16-$B$11</f>
        <v>42</v>
      </c>
      <c r="E16">
        <f>$B$5*(1+$B$7)^A16</f>
        <v>270400</v>
      </c>
      <c r="F16">
        <f>$B$6*$B$9^A16</f>
        <v>6.556869</v>
      </c>
      <c r="G16">
        <f>E16/F16</f>
        <v>41239.195109739114</v>
      </c>
      <c r="H16">
        <f>(1+$B$8)^A16</f>
        <v>1.0609</v>
      </c>
      <c r="I16">
        <f>G16/H16</f>
        <v>38871.896606408816</v>
      </c>
      <c r="J16">
        <f>SUM($I$14:I16)</f>
        <v>114354.25146531468</v>
      </c>
      <c r="K16">
        <f>M15</f>
        <v>3264429.5996185644</v>
      </c>
      <c r="L16">
        <f>K16-G16</f>
        <v>3223190.404508826</v>
      </c>
      <c r="M16">
        <f>L16*(1+$B$8)</f>
        <v>3319886.1166440905</v>
      </c>
    </row>
    <row r="17">
      <c r="A17">
        <f>A16+1</f>
        <v>3</v>
      </c>
      <c r="B17">
        <f>$B$4+A17</f>
        <v>2029</v>
      </c>
      <c r="C17">
        <f>B17-$B$11</f>
        <v>43</v>
      </c>
      <c r="D17">
        <f>B17-$B$11</f>
        <v>43</v>
      </c>
      <c r="E17">
        <f>$B$5*(1+$B$7)^A17</f>
        <v>281216</v>
      </c>
      <c r="F17">
        <f>$B$6*$B$9^A17</f>
        <v>6.49130031</v>
      </c>
      <c r="G17">
        <f>E17/F17</f>
        <v>43321.98274154412</v>
      </c>
      <c r="H17">
        <f>(1+$B$8)^A17</f>
        <v>1.092727</v>
      </c>
      <c r="I17">
        <f>G17/H17</f>
        <v>39645.75117256563</v>
      </c>
      <c r="J17">
        <f>SUM($I$14:I17)</f>
        <v>154000.0026378803</v>
      </c>
      <c r="K17">
        <f>M16</f>
        <v>3319886.1166440905</v>
      </c>
      <c r="L17">
        <f>K17-G17</f>
        <v>3276564.1339025465</v>
      </c>
      <c r="M17">
        <f>L17*(1+$B$8)</f>
        <v>3374861.0579196224</v>
      </c>
    </row>
    <row r="18">
      <c r="A18">
        <f>A17+1</f>
        <v>4</v>
      </c>
      <c r="B18">
        <f>$B$4+A18</f>
        <v>2030</v>
      </c>
      <c r="C18">
        <f>B18-$B$11</f>
        <v>44</v>
      </c>
      <c r="D18">
        <f>B18-$B$11</f>
        <v>44</v>
      </c>
      <c r="E18">
        <f>$B$5*(1+$B$7)^A18</f>
        <v>292464.64</v>
      </c>
      <c r="F18">
        <f>$B$6*$B$9^A18</f>
        <v>6.4263873069</v>
      </c>
      <c r="G18">
        <f>E18/F18</f>
        <v>45509.96166788473</v>
      </c>
      <c r="H18">
        <f>(1+$B$8)^A18</f>
        <v>1.12550881</v>
      </c>
      <c r="I18">
        <f>G18/H18</f>
        <v>40435.01149305507</v>
      </c>
      <c r="J18">
        <f>SUM($I$14:I18)</f>
        <v>194435.0141309354</v>
      </c>
      <c r="K18">
        <f>M17</f>
        <v>3374861.0579196224</v>
      </c>
      <c r="L18">
        <f>K18-G18</f>
        <v>3329351.096251738</v>
      </c>
      <c r="M18">
        <f>L18*(1+$B$8)</f>
        <v>3429231.6291392897</v>
      </c>
    </row>
    <row r="19">
      <c r="A19">
        <f>A18+1</f>
        <v>5</v>
      </c>
      <c r="B19">
        <f>$B$4+A19</f>
        <v>2031</v>
      </c>
      <c r="C19">
        <f>B19-$B$11</f>
        <v>45</v>
      </c>
      <c r="D19">
        <f>B19-$B$11</f>
        <v>45</v>
      </c>
      <c r="E19">
        <f>$B$5*(1+$B$7)^A19</f>
        <v>304163.2256</v>
      </c>
      <c r="F19">
        <f>$B$6*$B$9^A19</f>
        <v>6.362123433831</v>
      </c>
      <c r="G19">
        <f>E19/F19</f>
        <v>47808.44458040416</v>
      </c>
      <c r="H19">
        <f>(1+$B$8)^A19</f>
        <v>1.1592740743</v>
      </c>
      <c r="I19">
        <f>G19/H19</f>
        <v>41239.984262800106</v>
      </c>
      <c r="J19">
        <f>SUM($I$14:I19)</f>
        <v>235674.99839373547</v>
      </c>
      <c r="K19">
        <f>M18</f>
        <v>3429231.6291392897</v>
      </c>
      <c r="L19">
        <f>K19-G19</f>
        <v>3381423.184558886</v>
      </c>
      <c r="M19">
        <f>L19*(1+$B$8)</f>
        <v>3482865.880095653</v>
      </c>
    </row>
    <row r="20">
      <c r="A20">
        <f>A19+1</f>
        <v>6</v>
      </c>
      <c r="B20">
        <f>$B$4+A20</f>
        <v>2032</v>
      </c>
      <c r="C20">
        <f>B20-$B$11</f>
        <v>46</v>
      </c>
      <c r="D20">
        <f>B20-$B$11</f>
        <v>46</v>
      </c>
      <c r="E20">
        <f>$B$5*(1+$B$7)^A20</f>
        <v>316329.754624</v>
      </c>
      <c r="F20">
        <f>$B$6*$B$9^A20</f>
        <v>6.29850219949269</v>
      </c>
      <c r="G20">
        <f>E20/F20</f>
        <v>50223.01248850538</v>
      </c>
      <c r="H20">
        <f>(1+$B$8)^A20</f>
        <v>1.194052296529</v>
      </c>
      <c r="I20">
        <f>G20/H20</f>
        <v>42060.982282349825</v>
      </c>
      <c r="J20">
        <f>SUM($I$14:I20)</f>
        <v>277735.9806760853</v>
      </c>
      <c r="K20">
        <f>M19</f>
        <v>3482865.880095653</v>
      </c>
      <c r="L20">
        <f>K20-G20</f>
        <v>3432642.867607147</v>
      </c>
      <c r="M20">
        <f>L20*(1+$B$8)</f>
        <v>3535622.1536353617</v>
      </c>
    </row>
    <row r="21">
      <c r="A21">
        <f>A20+1</f>
        <v>7</v>
      </c>
      <c r="B21">
        <f>$B$4+A21</f>
        <v>2033</v>
      </c>
      <c r="C21">
        <f>B21-$B$11</f>
        <v>47</v>
      </c>
      <c r="D21">
        <f>B21-$B$11</f>
        <v>47</v>
      </c>
      <c r="E21">
        <f>$B$5*(1+$B$7)^A21</f>
        <v>328982.94480896</v>
      </c>
      <c r="F21">
        <f>$B$6*$B$9^A21</f>
        <v>6.235517177497763</v>
      </c>
      <c r="G21">
        <f>E21/F21</f>
        <v>52759.52827075313</v>
      </c>
      <c r="H21">
        <f>(1+$B$8)^A21</f>
        <v>1.22987386542487</v>
      </c>
      <c r="I21">
        <f>G21/H21</f>
        <v>42898.32457942906</v>
      </c>
      <c r="J21">
        <f>SUM($I$14:I21)</f>
        <v>320634.30525551434</v>
      </c>
      <c r="K21">
        <f>M20</f>
        <v>3535622.1536353617</v>
      </c>
      <c r="L21">
        <f>K21-G21</f>
        <v>3482862.6253646086</v>
      </c>
      <c r="M21">
        <f>L21*(1+$B$8)</f>
        <v>3587348.504125546</v>
      </c>
    </row>
    <row r="22">
      <c r="A22">
        <f>A21+1</f>
        <v>8</v>
      </c>
      <c r="B22">
        <f>$B$4+A22</f>
        <v>2034</v>
      </c>
      <c r="C22">
        <f>B22-$B$11</f>
        <v>48</v>
      </c>
      <c r="D22">
        <f>B22-$B$11</f>
        <v>48</v>
      </c>
      <c r="E22">
        <f>$B$5*(1+$B$7)^A22</f>
        <v>342142.2626013184</v>
      </c>
      <c r="F22">
        <f>$B$6*$B$9^A22</f>
        <v>6.173162005722785</v>
      </c>
      <c r="G22">
        <f>E22/F22</f>
        <v>55424.15091069016</v>
      </c>
      <c r="H22">
        <f>(1+$B$8)^A22</f>
        <v>1.266770081387616</v>
      </c>
      <c r="I22">
        <f>G22/H22</f>
        <v>43752.33653290794</v>
      </c>
      <c r="J22">
        <f>SUM($I$14:I22)</f>
        <v>364386.6417884223</v>
      </c>
      <c r="K22">
        <f>M21</f>
        <v>3587348.504125546</v>
      </c>
      <c r="L22">
        <f>K22-G22</f>
        <v>3531924.3532148562</v>
      </c>
      <c r="M22">
        <f>L22*(1+$B$8)</f>
        <v>3637882.0838113027</v>
      </c>
    </row>
    <row r="23">
      <c r="A23">
        <f>A22+1</f>
        <v>9</v>
      </c>
      <c r="B23">
        <f>$B$4+A23</f>
        <v>2035</v>
      </c>
      <c r="C23">
        <f>B23-$B$11</f>
        <v>49</v>
      </c>
      <c r="D23">
        <f>B23-$B$11</f>
        <v>49</v>
      </c>
      <c r="E23">
        <f>$B$5*(1+$B$7)^A23</f>
        <v>355827.95310537115</v>
      </c>
      <c r="F23">
        <f>$B$6*$B$9^A23</f>
        <v>6.111430385665557</v>
      </c>
      <c r="G23">
        <f>E23/F23</f>
        <v>58223.35045163411</v>
      </c>
      <c r="H23">
        <f>(1+$B$8)^A23</f>
        <v>1.3047731838292447</v>
      </c>
      <c r="I23">
        <f>G23/H23</f>
        <v>44623.34999923924</v>
      </c>
      <c r="J23">
        <f>SUM($I$14:I23)</f>
        <v>409009.9917876615</v>
      </c>
      <c r="K23">
        <f>M22</f>
        <v>3637882.0838113027</v>
      </c>
      <c r="L23">
        <f>K23-G23</f>
        <v>3579658.733359668</v>
      </c>
      <c r="M23">
        <f>L23*(1+$B$8)</f>
        <v>3687048.4953604583</v>
      </c>
    </row>
    <row r="24">
      <c r="A24">
        <f>A23+1</f>
        <v>10</v>
      </c>
      <c r="B24">
        <f>$B$4+A24</f>
        <v>2036</v>
      </c>
      <c r="C24">
        <f>B24-$B$11</f>
        <v>50</v>
      </c>
      <c r="D24">
        <f>B24-$B$11</f>
        <v>50</v>
      </c>
      <c r="E24">
        <f>$B$5*(1+$B$7)^A24</f>
        <v>370061.07122958597</v>
      </c>
      <c r="F24">
        <f>$B$6*$B$9^A24</f>
        <v>6.050316081808902</v>
      </c>
      <c r="G24">
        <f>E24/F24</f>
        <v>61163.92370676714</v>
      </c>
      <c r="H24">
        <f>(1+$B$8)^A24</f>
        <v>1.3439163793441218</v>
      </c>
      <c r="I24">
        <f>G24/H24</f>
        <v>45511.70344141298</v>
      </c>
      <c r="J24">
        <f>SUM($I$14:I24)</f>
        <v>454521.6952290745</v>
      </c>
      <c r="K24">
        <f>M23</f>
        <v>3687048.4953604583</v>
      </c>
      <c r="L24">
        <f>K24-G24</f>
        <v>3625884.571653691</v>
      </c>
      <c r="M24">
        <f>L24*(1+$B$8)</f>
        <v>3734661.1088033016</v>
      </c>
    </row>
    <row r="25">
      <c r="A25">
        <f>A24+1</f>
        <v>11</v>
      </c>
      <c r="B25">
        <f>$B$4+A25</f>
        <v>2037</v>
      </c>
      <c r="C25">
        <f>B25-$B$11</f>
        <v>51</v>
      </c>
      <c r="D25">
        <f>B25-$B$11</f>
        <v>51</v>
      </c>
      <c r="E25">
        <f>$B$5*(1+$B$7)^A25</f>
        <v>384863.5140787694</v>
      </c>
      <c r="F25">
        <f>$B$6*$B$9^A25</f>
        <v>5.989812920990813</v>
      </c>
      <c r="G25">
        <f>E25/F25</f>
        <v>64253.01076266447</v>
      </c>
      <c r="H25">
        <f>(1+$B$8)^A25</f>
        <v>1.3842338707244455</v>
      </c>
      <c r="I25">
        <f>G25/H25</f>
        <v>46417.74206047808</v>
      </c>
      <c r="J25">
        <f>SUM($I$14:I25)</f>
        <v>500939.4372895526</v>
      </c>
      <c r="K25">
        <f>M24</f>
        <v>3734661.1088033016</v>
      </c>
      <c r="L25">
        <f>K25-G25</f>
        <v>3670408.0980406376</v>
      </c>
      <c r="M25">
        <f>L25*(1+$B$8)</f>
        <v>3780520.3409818565</v>
      </c>
    </row>
    <row r="26">
      <c r="A26">
        <f>A25+1</f>
        <v>12</v>
      </c>
      <c r="B26">
        <f>$B$4+A26</f>
        <v>2038</v>
      </c>
      <c r="C26">
        <f>B26-$B$11</f>
        <v>52</v>
      </c>
      <c r="D26">
        <f>B26-$B$11</f>
        <v>52</v>
      </c>
      <c r="E26">
        <f>$B$5*(1+$B$7)^A26</f>
        <v>400258.0546419202</v>
      </c>
      <c r="F26">
        <f>$B$6*$B$9^A26</f>
        <v>5.929914791780905</v>
      </c>
      <c r="G26">
        <f>E26/F26</f>
        <v>67498.11231633439</v>
      </c>
      <c r="H26">
        <f>(1+$B$8)^A26</f>
        <v>1.4257608868461789</v>
      </c>
      <c r="I26">
        <f>G26/H26</f>
        <v>47341.81792968245</v>
      </c>
      <c r="J26">
        <f>SUM($I$14:I26)</f>
        <v>548281.255219235</v>
      </c>
      <c r="K26">
        <f>M25</f>
        <v>3780520.3409818565</v>
      </c>
      <c r="L26">
        <f>K26-G26</f>
        <v>3713022.228665522</v>
      </c>
      <c r="M26">
        <f>L26*(1+$B$8)</f>
        <v>3824412.8955254876</v>
      </c>
    </row>
    <row r="27">
      <c r="A27">
        <f>A26+1</f>
        <v>13</v>
      </c>
      <c r="B27">
        <f>$B$4+A27</f>
        <v>2039</v>
      </c>
      <c r="C27">
        <f>B27-$B$11</f>
        <v>53</v>
      </c>
      <c r="D27">
        <f>B27-$B$11</f>
        <v>53</v>
      </c>
      <c r="E27">
        <f>$B$5*(1+$B$7)^A27</f>
        <v>416268.376827597</v>
      </c>
      <c r="F27">
        <f>$B$6*$B$9^A27</f>
        <v>5.870615643863096</v>
      </c>
      <c r="G27">
        <f>E27/F27</f>
        <v>70907.10788786644</v>
      </c>
      <c r="H27">
        <f>(1+$B$8)^A27</f>
        <v>1.4685337134515644</v>
      </c>
      <c r="I27">
        <f>G27/H27</f>
        <v>48284.29013128347</v>
      </c>
      <c r="J27">
        <f>SUM($I$14:I27)</f>
        <v>596565.5453505185</v>
      </c>
      <c r="K27">
        <f>M26</f>
        <v>3824412.8955254876</v>
      </c>
      <c r="L27">
        <f>K27-G27</f>
        <v>3753505.787637621</v>
      </c>
      <c r="M27">
        <f>L27*(1+$B$8)</f>
        <v>3866110.96126675</v>
      </c>
    </row>
    <row r="28">
      <c r="A28">
        <f>A27+1</f>
        <v>14</v>
      </c>
      <c r="B28">
        <f>$B$4+A28</f>
        <v>2040</v>
      </c>
      <c r="C28">
        <f>B28-$B$11</f>
        <v>54</v>
      </c>
      <c r="D28">
        <f>B28-$B$11</f>
        <v>54</v>
      </c>
      <c r="E28">
        <f>$B$5*(1+$B$7)^A28</f>
        <v>432919.1119007009</v>
      </c>
      <c r="F28">
        <f>$B$6*$B$9^A28</f>
        <v>5.811909487424464</v>
      </c>
      <c r="G28">
        <f>E28/F28</f>
        <v>74488.2749529102</v>
      </c>
      <c r="H28">
        <f>(1+$B$8)^A28</f>
        <v>1.5125897248551112</v>
      </c>
      <c r="I28">
        <f>G28/H28</f>
        <v>49245.524896081995</v>
      </c>
      <c r="J28">
        <f>SUM($I$14:I28)</f>
        <v>645811.0702466005</v>
      </c>
      <c r="K28">
        <f>M27</f>
        <v>3866110.96126675</v>
      </c>
      <c r="L28">
        <f>K28-G28</f>
        <v>3791622.6863138396</v>
      </c>
      <c r="M28">
        <f>L28*(1+$B$8)</f>
        <v>3905371.366903255</v>
      </c>
    </row>
    <row r="29">
      <c r="A29">
        <f>A28+1</f>
        <v>15</v>
      </c>
      <c r="B29">
        <f>$B$4+A29</f>
        <v>2041</v>
      </c>
      <c r="C29">
        <f>B29-$B$11</f>
        <v>55</v>
      </c>
      <c r="D29">
        <f>B29-$B$11</f>
        <v>55</v>
      </c>
      <c r="E29">
        <f>$B$5*(1+$B$7)^A29</f>
        <v>450235.87637672893</v>
      </c>
      <c r="F29">
        <f>$B$6*$B$9^A29</f>
        <v>5.753790392550219</v>
      </c>
      <c r="G29">
        <f>E29/F29</f>
        <v>78250.30904144101</v>
      </c>
      <c r="H29">
        <f>(1+$B$8)^A29</f>
        <v>1.5579674166007647</v>
      </c>
      <c r="I29">
        <f>G29/H29</f>
        <v>50225.8957457343</v>
      </c>
      <c r="J29">
        <f>SUM($I$14:I29)</f>
        <v>696036.9659923348</v>
      </c>
      <c r="K29">
        <f>M28</f>
        <v>3905371.366903255</v>
      </c>
      <c r="L29">
        <f>K29-G29</f>
        <v>3827121.0578618143</v>
      </c>
      <c r="M29">
        <f>L29*(1+$B$8)</f>
        <v>3941934.689597668</v>
      </c>
    </row>
    <row r="30">
      <c r="A30">
        <f>A29+1</f>
        <v>16</v>
      </c>
      <c r="B30">
        <f>$B$4+A30</f>
        <v>2042</v>
      </c>
      <c r="C30">
        <f>B30-$B$11</f>
        <v>56</v>
      </c>
      <c r="D30">
        <f>B30-$B$11</f>
        <v>56</v>
      </c>
      <c r="E30">
        <f>$B$5*(1+$B$7)^A30</f>
        <v>468245.3114317981</v>
      </c>
      <c r="F30">
        <f>$B$6*$B$9^A30</f>
        <v>5.696252488624718</v>
      </c>
      <c r="G30">
        <f>E30/F30</f>
        <v>82202.3448516148</v>
      </c>
      <c r="H30">
        <f>(1+$B$8)^A30</f>
        <v>1.6047064390987873</v>
      </c>
      <c r="I30">
        <f>G30/H30</f>
        <v>51225.783637897104</v>
      </c>
      <c r="J30">
        <f>SUM($I$14:I30)</f>
        <v>747262.749630232</v>
      </c>
      <c r="K30">
        <f>M29</f>
        <v>3941934.689597668</v>
      </c>
      <c r="L30">
        <f>K30-G30</f>
        <v>3859732.344746053</v>
      </c>
      <c r="M30">
        <f>L30*(1+$B$8)</f>
        <v>3975524.3150884355</v>
      </c>
    </row>
    <row r="31">
      <c r="A31">
        <f>A30+1</f>
        <v>17</v>
      </c>
      <c r="B31">
        <f>$B$4+A31</f>
        <v>2043</v>
      </c>
      <c r="C31">
        <f>B31-$B$11</f>
        <v>57</v>
      </c>
      <c r="D31">
        <f>B31-$B$11</f>
        <v>57</v>
      </c>
      <c r="E31">
        <f>$B$5*(1+$B$7)^A31</f>
        <v>486975.12388907</v>
      </c>
      <c r="F31">
        <f>$B$6*$B$9^A31</f>
        <v>5.63928996373847</v>
      </c>
      <c r="G31">
        <f>E31/F31</f>
        <v>86353.9784299792</v>
      </c>
      <c r="H31">
        <f>(1+$B$8)^A31</f>
        <v>1.6528476322717514</v>
      </c>
      <c r="I31">
        <f>G31/H31</f>
        <v>52245.577114262036</v>
      </c>
      <c r="J31">
        <f>SUM($I$14:I31)</f>
        <v>799508.326744494</v>
      </c>
      <c r="K31">
        <f>M30</f>
        <v>3975524.3150884355</v>
      </c>
      <c r="L31">
        <f>K31-G31</f>
        <v>3889170.336658457</v>
      </c>
      <c r="M31">
        <f>L31*(1+$B$8)</f>
        <v>4005845.4467582093</v>
      </c>
    </row>
    <row r="32">
      <c r="A32">
        <f>A31+1</f>
        <v>18</v>
      </c>
      <c r="B32">
        <f>$B$4+A32</f>
        <v>2044</v>
      </c>
      <c r="C32">
        <f>B32-$B$11</f>
        <v>58</v>
      </c>
      <c r="D32">
        <f>B32-$B$11</f>
        <v>58</v>
      </c>
      <c r="E32">
        <f>$B$5*(1+$B$7)^A32</f>
        <v>506454.1288446328</v>
      </c>
      <c r="F32">
        <f>$B$6*$B$9^A32</f>
        <v>5.582897064101086</v>
      </c>
      <c r="G32">
        <f>E32/F32</f>
        <v>90715.29047189733</v>
      </c>
      <c r="H32">
        <f>(1+$B$8)^A32</f>
        <v>1.7024330612399037</v>
      </c>
      <c r="I32">
        <f>G32/H32</f>
        <v>53285.67245153722</v>
      </c>
      <c r="J32">
        <f>SUM($I$14:I32)</f>
        <v>852793.9991960311</v>
      </c>
      <c r="K32">
        <f>M31</f>
        <v>4005845.4467582093</v>
      </c>
      <c r="L32">
        <f>K32-G32</f>
        <v>3915130.1562863123</v>
      </c>
      <c r="M32">
        <f>L32*(1+$B$8)</f>
        <v>4032584.0609749015</v>
      </c>
    </row>
    <row r="33">
      <c r="A33">
        <f>A32+1</f>
        <v>19</v>
      </c>
      <c r="B33">
        <f>$B$4+A33</f>
        <v>2045</v>
      </c>
      <c r="C33">
        <f>B33-$B$11</f>
        <v>59</v>
      </c>
      <c r="D33">
        <f>B33-$B$11</f>
        <v>59</v>
      </c>
      <c r="E33">
        <f>$B$5*(1+$B$7)^A33</f>
        <v>526712.293998418</v>
      </c>
      <c r="F33">
        <f>$B$6*$B$9^A33</f>
        <v>5.527068093460075</v>
      </c>
      <c r="G33">
        <f>E33/F33</f>
        <v>95296.87079876082</v>
      </c>
      <c r="H33">
        <f>(1+$B$8)^A33</f>
        <v>1.753506053077101</v>
      </c>
      <c r="I33">
        <f>G33/H33</f>
        <v>54346.473815434656</v>
      </c>
      <c r="J33">
        <f>SUM($I$14:I33)</f>
        <v>907140.4730114657</v>
      </c>
      <c r="K33">
        <f>M32</f>
        <v>4032584.0609749015</v>
      </c>
      <c r="L33">
        <f>K33-G33</f>
        <v>3937287.1901761405</v>
      </c>
      <c r="M33">
        <f>L33*(1+$B$8)</f>
        <v>4055405.805881425</v>
      </c>
    </row>
    <row r="34">
      <c r="A34">
        <f>A33+1</f>
        <v>20</v>
      </c>
      <c r="B34">
        <f>$B$4+A34</f>
        <v>2046</v>
      </c>
      <c r="C34">
        <f>B34-$B$11</f>
        <v>60</v>
      </c>
      <c r="D34">
        <f>B34-$B$11</f>
        <v>60</v>
      </c>
      <c r="E34">
        <f>$B$5*(1+$B$7)^A34</f>
        <v>547780.7857583549</v>
      </c>
      <c r="F34">
        <f>$B$6*$B$9^A34</f>
        <v>5.471797412525474</v>
      </c>
      <c r="G34">
        <f>E34/F34</f>
        <v>100109.84407142551</v>
      </c>
      <c r="H34">
        <f>(1+$B$8)^A34</f>
        <v>1.8061112346694137</v>
      </c>
      <c r="I34">
        <f>G34/H34</f>
        <v>55428.393417722895</v>
      </c>
      <c r="J34">
        <f>SUM($I$14:I34)</f>
        <v>962568.8664291888</v>
      </c>
      <c r="K34">
        <f>M33</f>
        <v>4055405.805881425</v>
      </c>
      <c r="L34">
        <f>K34-G34</f>
        <v>3955295.9618099993</v>
      </c>
      <c r="M34">
        <f>L34*(1+$B$8)</f>
        <v>4073954.8406642997</v>
      </c>
    </row>
    <row r="35">
      <c r="A35">
        <f>A34+1</f>
        <v>21</v>
      </c>
      <c r="B35">
        <f>$B$4+A35</f>
        <v>2047</v>
      </c>
      <c r="C35">
        <f>B35-$B$11</f>
        <v>61</v>
      </c>
      <c r="D35">
        <f>B35-$B$11</f>
        <v>61</v>
      </c>
      <c r="E35">
        <f>$B$5*(1+$B$7)^A35</f>
        <v>569692.017188689</v>
      </c>
      <c r="F35">
        <f>$B$6*$B$9^A35</f>
        <v>5.417079438400219</v>
      </c>
      <c r="G35">
        <f>E35/F35</f>
        <v>105165.89680230558</v>
      </c>
      <c r="H35">
        <f>(1+$B$8)^A35</f>
        <v>1.860294571709496</v>
      </c>
      <c r="I35">
        <f>G35/H35</f>
        <v>56531.85167640659</v>
      </c>
      <c r="J35">
        <f>SUM($I$14:I35)</f>
        <v>1019100.7181055952</v>
      </c>
      <c r="K35">
        <f>M34</f>
        <v>4073954.8406642997</v>
      </c>
      <c r="L35">
        <f>K35-G35</f>
        <v>3968788.9438619935</v>
      </c>
      <c r="M35">
        <f>L35*(1+$B$8)</f>
        <v>4087852.6121778535</v>
      </c>
    </row>
    <row r="36">
      <c r="A36">
        <f>A35+1</f>
        <v>22</v>
      </c>
      <c r="B36">
        <f>$B$4+A36</f>
        <v>2048</v>
      </c>
      <c r="C36">
        <f>B36-$B$11</f>
        <v>62</v>
      </c>
      <c r="D36">
        <f>B36-$B$11</f>
        <v>62</v>
      </c>
      <c r="E36">
        <f>$B$5*(1+$B$7)^A36</f>
        <v>592479.6978762366</v>
      </c>
      <c r="F36">
        <f>$B$6*$B$9^A36</f>
        <v>5.362908644016217</v>
      </c>
      <c r="G36">
        <f>E36/F36</f>
        <v>110477.30573171497</v>
      </c>
      <c r="H36">
        <f>(1+$B$8)^A36</f>
        <v>1.916103408860781</v>
      </c>
      <c r="I36">
        <f>G36/H36</f>
        <v>57657.2773790947</v>
      </c>
      <c r="J36">
        <f>SUM($I$14:I36)</f>
        <v>1076757.99548469</v>
      </c>
      <c r="K36">
        <f>M35</f>
        <v>4087852.6121778535</v>
      </c>
      <c r="L36">
        <f>K36-G36</f>
        <v>3977375.306446139</v>
      </c>
      <c r="M36">
        <f>L36*(1+$B$8)</f>
        <v>4096696.5656395224</v>
      </c>
    </row>
    <row r="37">
      <c r="A37">
        <f>A36+1</f>
        <v>23</v>
      </c>
      <c r="B37">
        <f>$B$4+A37</f>
        <v>2049</v>
      </c>
      <c r="C37">
        <f>B37-$B$11</f>
        <v>63</v>
      </c>
      <c r="D37">
        <f>B37-$B$11</f>
        <v>63</v>
      </c>
      <c r="E37">
        <f>$B$5*(1+$B$7)^A37</f>
        <v>616178.8857912861</v>
      </c>
      <c r="F37">
        <f>$B$6*$B$9^A37</f>
        <v>5.309279557576055</v>
      </c>
      <c r="G37">
        <f>E37/F37</f>
        <v>116056.96763735713</v>
      </c>
      <c r="H37">
        <f>(1+$B$8)^A37</f>
        <v>1.9735865111266047</v>
      </c>
      <c r="I37">
        <f>G37/H37</f>
        <v>58805.10784962096</v>
      </c>
      <c r="J37">
        <f>SUM($I$14:I37)</f>
        <v>1135563.103334311</v>
      </c>
      <c r="K37">
        <f>M36</f>
        <v>4096696.5656395224</v>
      </c>
      <c r="L37">
        <f>K37-G37</f>
        <v>3980639.5980021656</v>
      </c>
      <c r="M37">
        <f>L37*(1+$B$8)</f>
        <v>4100058.7859422304</v>
      </c>
    </row>
    <row r="38">
      <c r="A38">
        <f>A37+1</f>
        <v>24</v>
      </c>
      <c r="B38">
        <f>$B$4+A38</f>
        <v>2050</v>
      </c>
      <c r="C38">
        <f>B38-$B$11</f>
        <v>64</v>
      </c>
      <c r="D38">
        <f>B38-$B$11</f>
        <v>64</v>
      </c>
      <c r="E38">
        <f>$B$5*(1+$B$7)^A38</f>
        <v>640826.0412229375</v>
      </c>
      <c r="F38">
        <f>$B$6*$B$9^A38</f>
        <v>5.256186762000294</v>
      </c>
      <c r="G38">
        <f>E38/F38</f>
        <v>121918.43064934485</v>
      </c>
      <c r="H38">
        <f>(1+$B$8)^A38</f>
        <v>2.0327941064604027</v>
      </c>
      <c r="I38">
        <f>G38/H38</f>
        <v>59975.78911798156</v>
      </c>
      <c r="J38">
        <f>SUM($I$14:I38)</f>
        <v>1195538.8924522926</v>
      </c>
      <c r="K38">
        <f>M37</f>
        <v>4100058.7859422304</v>
      </c>
      <c r="L38">
        <f>K38-G38</f>
        <v>3978140.3552928856</v>
      </c>
      <c r="M38">
        <f>L38*(1+$B$8)</f>
        <v>4097484.565951673</v>
      </c>
    </row>
    <row r="39">
      <c r="A39">
        <f>A38+1</f>
        <v>25</v>
      </c>
      <c r="B39">
        <f>$B$4+A39</f>
        <v>2051</v>
      </c>
      <c r="C39">
        <f>B39-$B$11</f>
        <v>65</v>
      </c>
      <c r="D39">
        <f>B39-$B$11</f>
        <v>65</v>
      </c>
      <c r="E39">
        <f>$B$5*(1+$B$7)^A39</f>
        <v>666459.082871855</v>
      </c>
      <c r="F39">
        <f>$B$6*$B$9^A39</f>
        <v>5.203624894380292</v>
      </c>
      <c r="G39">
        <f>E39/F39</f>
        <v>128075.92714678652</v>
      </c>
      <c r="H39">
        <f>(1+$B$8)^A39</f>
        <v>2.0937779296542147</v>
      </c>
      <c r="I39">
        <f>G39/H39</f>
        <v>61169.77609365581</v>
      </c>
      <c r="J39">
        <f>SUM($I$14:I39)</f>
        <v>1256708.6685459483</v>
      </c>
      <c r="K39">
        <f>M38</f>
        <v>4097484.565951673</v>
      </c>
      <c r="L39">
        <f>K39-G39</f>
        <v>3969408.638804886</v>
      </c>
      <c r="M39">
        <f>L39*(1+$B$8)</f>
        <v>4088490.897969033</v>
      </c>
    </row>
    <row r="40">
      <c r="A40">
        <f>A39+1</f>
        <v>26</v>
      </c>
      <c r="B40">
        <f>$B$4+A40</f>
        <v>2052</v>
      </c>
      <c r="C40">
        <f>B40-$B$11</f>
        <v>66</v>
      </c>
      <c r="D40">
        <f>B40-$B$11</f>
        <v>66</v>
      </c>
      <c r="E40">
        <f>$B$5*(1+$B$7)^A40</f>
        <v>693117.4461867292</v>
      </c>
      <c r="F40">
        <f>$B$6*$B$9^A40</f>
        <v>5.1515886454364885</v>
      </c>
      <c r="G40">
        <f>E40/F40</f>
        <v>134544.40831581614</v>
      </c>
      <c r="H40">
        <f>(1+$B$8)^A40</f>
        <v>2.1565912675438415</v>
      </c>
      <c r="I40">
        <f>G40/H40</f>
        <v>62387.53274237721</v>
      </c>
      <c r="J40">
        <f>SUM($I$14:I40)</f>
        <v>1319096.2012883255</v>
      </c>
      <c r="K40">
        <f>M39</f>
        <v>4088490.897969033</v>
      </c>
      <c r="L40">
        <f>K40-G40</f>
        <v>3953946.4896532167</v>
      </c>
      <c r="M40">
        <f>L40*(1+$B$8)</f>
        <v>4072564.8843428125</v>
      </c>
    </row>
    <row r="41">
      <c r="A41">
        <f>A40+1</f>
        <v>27</v>
      </c>
      <c r="B41">
        <f>$B$4+A41</f>
        <v>2053</v>
      </c>
      <c r="C41">
        <f>B41-$B$11</f>
        <v>67</v>
      </c>
      <c r="D41">
        <f>B41-$B$11</f>
        <v>67</v>
      </c>
      <c r="E41">
        <f>$B$5*(1+$B$7)^A41</f>
        <v>720842.1440341984</v>
      </c>
      <c r="F41">
        <f>$B$6*$B$9^A41</f>
        <v>5.100072758982123</v>
      </c>
      <c r="G41">
        <f>E41/F41</f>
        <v>141339.58045297858</v>
      </c>
      <c r="H41">
        <f>(1+$B$8)^A41</f>
        <v>2.2212890055701564</v>
      </c>
      <c r="I41">
        <f>G41/H41</f>
        <v>63629.53226642375</v>
      </c>
      <c r="J41">
        <f>SUM($I$14:I41)</f>
        <v>1382725.7335547495</v>
      </c>
      <c r="K41">
        <f>M40</f>
        <v>4072564.8843428125</v>
      </c>
      <c r="L41">
        <f>K41-G41</f>
        <v>3931225.303889834</v>
      </c>
      <c r="M41">
        <f>L41*(1+$B$8)</f>
        <v>4049162.0630065296</v>
      </c>
    </row>
    <row r="42">
      <c r="A42">
        <f>A41+1</f>
        <v>28</v>
      </c>
      <c r="B42">
        <f>$B$4+A42</f>
        <v>2054</v>
      </c>
      <c r="C42">
        <f>B42-$B$11</f>
        <v>68</v>
      </c>
      <c r="D42">
        <f>B42-$B$11</f>
        <v>68</v>
      </c>
      <c r="E42">
        <f>$B$5*(1+$B$7)^A42</f>
        <v>749675.8297955663</v>
      </c>
      <c r="F42">
        <f>$B$6*$B$9^A42</f>
        <v>5.049072031392304</v>
      </c>
      <c r="G42">
        <f>E42/F42</f>
        <v>148477.9431021189</v>
      </c>
      <c r="H42">
        <f>(1+$B$8)^A42</f>
        <v>2.2879276757372606</v>
      </c>
      <c r="I42">
        <f>G42/H42</f>
        <v>64896.2572884973</v>
      </c>
      <c r="J42">
        <f>SUM($I$14:I42)</f>
        <v>1447621.9908432467</v>
      </c>
      <c r="K42">
        <f>M41</f>
        <v>4049162.0630065296</v>
      </c>
      <c r="L42">
        <f>K42-G42</f>
        <v>3900684.1199044106</v>
      </c>
      <c r="M42">
        <f>L42*(1+$B$8)</f>
        <v>4017704.6435015425</v>
      </c>
    </row>
    <row r="43">
      <c r="A43">
        <f>A42+1</f>
        <v>29</v>
      </c>
      <c r="B43">
        <f>$B$4+A43</f>
        <v>2055</v>
      </c>
      <c r="C43">
        <f>B43-$B$11</f>
        <v>69</v>
      </c>
      <c r="D43">
        <f>B43-$B$11</f>
        <v>69</v>
      </c>
      <c r="E43">
        <f>$B$5*(1+$B$7)^A43</f>
        <v>779662.862987389</v>
      </c>
      <c r="F43">
        <f>$B$6*$B$9^A43</f>
        <v>4.99858131107838</v>
      </c>
      <c r="G43">
        <f>E43/F43</f>
        <v>155976.82911737746</v>
      </c>
      <c r="H43">
        <f>(1+$B$8)^A43</f>
        <v>2.356565506009379</v>
      </c>
      <c r="I43">
        <f>G43/H43</f>
        <v>66188.2000392637</v>
      </c>
      <c r="J43">
        <f>SUM($I$14:I43)</f>
        <v>1513810.19088251</v>
      </c>
      <c r="K43">
        <f>M42</f>
        <v>4017704.6435015425</v>
      </c>
      <c r="L43">
        <f>K43-G43</f>
        <v>3861727.8143841657</v>
      </c>
      <c r="M43">
        <f>L43*(1+$B$8)</f>
        <v>3977579.6488156905</v>
      </c>
    </row>
    <row r="44">
      <c r="A44">
        <f>A43+1</f>
        <v>30</v>
      </c>
      <c r="B44">
        <f>$B$4+A44</f>
        <v>2056</v>
      </c>
      <c r="C44">
        <f>B44-$B$11</f>
        <v>70</v>
      </c>
      <c r="D44">
        <f>B44-$B$11</f>
        <v>70</v>
      </c>
      <c r="E44">
        <f>$B$5*(1+$B$7)^A44</f>
        <v>810849.3775068845</v>
      </c>
      <c r="F44">
        <f>$B$6*$B$9^A44</f>
        <v>4.948595497967596</v>
      </c>
      <c r="G44">
        <f>E44/F44</f>
        <v>163854.44674956825</v>
      </c>
      <c r="H44">
        <f>(1+$B$8)^A44</f>
        <v>2.4272624711896604</v>
      </c>
      <c r="I44">
        <f>G44/H44</f>
        <v>67505.8625486263</v>
      </c>
      <c r="J44">
        <f>SUM($I$14:I44)</f>
        <v>1581316.0534311365</v>
      </c>
      <c r="K44">
        <f>M43</f>
        <v>3977579.6488156905</v>
      </c>
      <c r="L44">
        <f>K44-G44</f>
        <v>3813725.2020661216</v>
      </c>
      <c r="M44">
        <f>L44*(1+$B$8)</f>
        <v>3928136.958128106</v>
      </c>
    </row>
    <row r="45">
      <c r="A45">
        <f>A44+1</f>
        <v>31</v>
      </c>
      <c r="B45">
        <f>$B$4+A45</f>
        <v>2057</v>
      </c>
      <c r="C45">
        <f>B45-$B$11</f>
        <v>71</v>
      </c>
      <c r="D45">
        <f>B45-$B$11</f>
        <v>71</v>
      </c>
      <c r="E45">
        <f>$B$5*(1+$B$7)^A45</f>
        <v>843283.3526071598</v>
      </c>
      <c r="F45">
        <f>$B$6*$B$9^A45</f>
        <v>4.89910954298792</v>
      </c>
      <c r="G45">
        <f>E45/F45</f>
        <v>172129.9238581323</v>
      </c>
      <c r="H45">
        <f>(1+$B$8)^A45</f>
        <v>2.5000803453253497</v>
      </c>
      <c r="I45">
        <f>G45/H45</f>
        <v>68849.75684080746</v>
      </c>
      <c r="J45">
        <f>SUM($I$14:I45)</f>
        <v>1650165.8102719442</v>
      </c>
      <c r="K45">
        <f>M44</f>
        <v>3928136.958128106</v>
      </c>
      <c r="L45">
        <f>K45-G45</f>
        <v>3756007.0342699736</v>
      </c>
      <c r="M45">
        <f>L45*(1+$B$8)</f>
        <v>3868687.245298072</v>
      </c>
    </row>
    <row r="46">
      <c r="A46">
        <f>A45+1</f>
        <v>32</v>
      </c>
      <c r="B46">
        <f>$B$4+A46</f>
        <v>2058</v>
      </c>
      <c r="C46">
        <f>B46-$B$11</f>
        <v>72</v>
      </c>
      <c r="D46">
        <f>B46-$B$11</f>
        <v>72</v>
      </c>
      <c r="E46">
        <f>$B$5*(1+$B$7)^A46</f>
        <v>877014.6867114463</v>
      </c>
      <c r="F46">
        <f>$B$6*$B$9^A46</f>
        <v>4.8501184475580414</v>
      </c>
      <c r="G46">
        <f>E46/F46</f>
        <v>180823.35435601772</v>
      </c>
      <c r="H46">
        <f>(1+$B$8)^A46</f>
        <v>2.5750827556851106</v>
      </c>
      <c r="I46">
        <f>G46/H46</f>
        <v>70220.40513331346</v>
      </c>
      <c r="J46">
        <f>SUM($I$14:I46)</f>
        <v>1720386.2154052574</v>
      </c>
      <c r="K46">
        <f>M45</f>
        <v>3868687.245298072</v>
      </c>
      <c r="L46">
        <f>K46-G46</f>
        <v>3687863.890942055</v>
      </c>
      <c r="M46">
        <f>L46*(1+$B$8)</f>
        <v>3798499.807670316</v>
      </c>
    </row>
    <row r="47">
      <c r="A47">
        <f>A46+1</f>
        <v>33</v>
      </c>
      <c r="B47">
        <f>$B$4+A47</f>
        <v>2059</v>
      </c>
      <c r="C47">
        <f>B47-$B$11</f>
        <v>73</v>
      </c>
      <c r="D47">
        <f>B47-$B$11</f>
        <v>73</v>
      </c>
      <c r="E47">
        <f>$B$5*(1+$B$7)^A47</f>
        <v>912095.2741799041</v>
      </c>
      <c r="F47">
        <f>$B$6*$B$9^A47</f>
        <v>4.801617263082461</v>
      </c>
      <c r="G47">
        <f>E47/F47</f>
        <v>189955.84700026107</v>
      </c>
      <c r="H47">
        <f>(1+$B$8)^A47</f>
        <v>2.652335238355664</v>
      </c>
      <c r="I47">
        <f>G47/H47</f>
        <v>71618.34003986075</v>
      </c>
      <c r="J47">
        <f>SUM($I$14:I47)</f>
        <v>1792004.5554451183</v>
      </c>
      <c r="K47">
        <f>M46</f>
        <v>3798499.807670316</v>
      </c>
      <c r="L47">
        <f>K47-G47</f>
        <v>3608543.9606700554</v>
      </c>
      <c r="M47">
        <f>L47*(1+$B$8)</f>
        <v>3716800.279490157</v>
      </c>
    </row>
    <row r="48">
      <c r="A48">
        <f>A47+1</f>
        <v>34</v>
      </c>
      <c r="B48">
        <f>$B$4+A48</f>
        <v>2060</v>
      </c>
      <c r="C48">
        <f>B48-$B$11</f>
        <v>74</v>
      </c>
      <c r="D48">
        <f>B48-$B$11</f>
        <v>74</v>
      </c>
      <c r="E48">
        <f>$B$5*(1+$B$7)^A48</f>
        <v>948579.0851471003</v>
      </c>
      <c r="F48">
        <f>$B$6*$B$9^A48</f>
        <v>4.753601090451635</v>
      </c>
      <c r="G48">
        <f>E48/F48</f>
        <v>199549.57664673892</v>
      </c>
      <c r="H48">
        <f>(1+$B$8)^A48</f>
        <v>2.731905295506334</v>
      </c>
      <c r="I48">
        <f>G48/H48</f>
        <v>73044.10477734155</v>
      </c>
      <c r="J48">
        <f>SUM($I$14:I48)</f>
        <v>1865048.6602224598</v>
      </c>
      <c r="K48">
        <f>M47</f>
        <v>3716800.279490157</v>
      </c>
      <c r="L48">
        <f>K48-G48</f>
        <v>3517250.702843418</v>
      </c>
      <c r="M48">
        <f>L48*(1+$B$8)</f>
        <v>3622768.2239287207</v>
      </c>
    </row>
    <row r="49">
      <c r="A49">
        <f>A48+1</f>
        <v>35</v>
      </c>
      <c r="B49">
        <f>$B$4+A49</f>
        <v>2061</v>
      </c>
      <c r="C49">
        <f>B49-$B$11</f>
        <v>75</v>
      </c>
      <c r="D49">
        <f>B49-$B$11</f>
        <v>75</v>
      </c>
      <c r="E49">
        <f>$B$5*(1+$B$7)^A49</f>
        <v>986522.2485529843</v>
      </c>
      <c r="F49">
        <f>$B$6*$B$9^A49</f>
        <v>4.70606507954712</v>
      </c>
      <c r="G49">
        <f>E49/F49</f>
        <v>209627.8380935439</v>
      </c>
      <c r="H49">
        <f>(1+$B$8)^A49</f>
        <v>2.813862454371524</v>
      </c>
      <c r="I49">
        <f>G49/H49</f>
        <v>74498.25337691008</v>
      </c>
      <c r="J49">
        <f>SUM($I$14:I49)</f>
        <v>1939546.9135993696</v>
      </c>
      <c r="K49">
        <f>M48</f>
        <v>3622768.2239287207</v>
      </c>
      <c r="L49">
        <f>K49-G49</f>
        <v>3413140.385835177</v>
      </c>
      <c r="M49">
        <f>L49*(1+$B$8)</f>
        <v>3515534.5974102323</v>
      </c>
    </row>
    <row r="50">
      <c r="A50">
        <f>A49+1</f>
        <v>36</v>
      </c>
      <c r="B50">
        <f>$B$4+A50</f>
        <v>2062</v>
      </c>
      <c r="C50">
        <f>B50-$B$11</f>
        <v>76</v>
      </c>
      <c r="D50">
        <f>B50-$B$11</f>
        <v>76</v>
      </c>
      <c r="E50">
        <f>$B$5*(1+$B$7)^A50</f>
        <v>1025983.1384951038</v>
      </c>
      <c r="F50">
        <f>$B$6*$B$9^A50</f>
        <v>4.659004428751649</v>
      </c>
      <c r="G50">
        <f>E50/F50</f>
        <v>220215.10264372284</v>
      </c>
      <c r="H50">
        <f>(1+$B$8)^A50</f>
        <v>2.89827832800267</v>
      </c>
      <c r="I50">
        <f>G50/H50</f>
        <v>75981.35089927085</v>
      </c>
      <c r="J50">
        <f>SUM($I$14:I50)</f>
        <v>2015528.264498641</v>
      </c>
      <c r="K50">
        <f>M49</f>
        <v>3515534.5974102323</v>
      </c>
      <c r="L50">
        <f>K50-G50</f>
        <v>3295319.4947665096</v>
      </c>
      <c r="M50">
        <f>L50*(1+$B$8)</f>
        <v>3394179.0796095044</v>
      </c>
    </row>
    <row r="51">
      <c r="A51">
        <f>A50+1</f>
        <v>37</v>
      </c>
      <c r="B51">
        <f>$B$4+A51</f>
        <v>2063</v>
      </c>
      <c r="C51">
        <f>B51-$B$11</f>
        <v>77</v>
      </c>
      <c r="D51">
        <f>B51-$B$11</f>
        <v>77</v>
      </c>
      <c r="E51">
        <f>$B$5*(1+$B$7)^A51</f>
        <v>1067022.4640349078</v>
      </c>
      <c r="F51">
        <f>$B$6*$B$9^A51</f>
        <v>4.612414384464132</v>
      </c>
      <c r="G51">
        <f>E51/F51</f>
        <v>231337.07752471897</v>
      </c>
      <c r="H51">
        <f>(1+$B$8)^A51</f>
        <v>2.9852266778427494</v>
      </c>
      <c r="I51">
        <f>G51/H51</f>
        <v>77493.97365425291</v>
      </c>
      <c r="J51">
        <f>SUM($I$14:I51)</f>
        <v>2093022.2381528937</v>
      </c>
      <c r="K51">
        <f>M50</f>
        <v>3394179.0796095044</v>
      </c>
      <c r="L51">
        <f>K51-G51</f>
        <v>3162842.0020847856</v>
      </c>
      <c r="M51">
        <f>L51*(1+$B$8)</f>
        <v>3257727.2621473293</v>
      </c>
    </row>
    <row r="52">
      <c r="A52">
        <f>A51+1</f>
        <v>38</v>
      </c>
      <c r="B52">
        <f>$B$4+A52</f>
        <v>2064</v>
      </c>
      <c r="C52">
        <f>B52-$B$11</f>
        <v>78</v>
      </c>
      <c r="D52">
        <f>B52-$B$11</f>
        <v>78</v>
      </c>
      <c r="E52">
        <f>$B$5*(1+$B$7)^A52</f>
        <v>1109703.3625963042</v>
      </c>
      <c r="F52">
        <f>$B$6*$B$9^A52</f>
        <v>4.566290240619491</v>
      </c>
      <c r="G52">
        <f>E52/F52</f>
        <v>243020.76830879567</v>
      </c>
      <c r="H52">
        <f>(1+$B$8)^A52</f>
        <v>3.0747834781780323</v>
      </c>
      <c r="I52">
        <f>G52/H52</f>
        <v>79036.70942475535</v>
      </c>
      <c r="J52">
        <f>SUM($I$14:I52)</f>
        <v>2172058.947577649</v>
      </c>
      <c r="K52">
        <f>M51</f>
        <v>3257727.2621473293</v>
      </c>
      <c r="L52">
        <f>K52-G52</f>
        <v>3014706.4938385338</v>
      </c>
      <c r="M52">
        <f>L52*(1+$B$8)</f>
        <v>3105147.6886536893</v>
      </c>
    </row>
    <row r="53">
      <c r="A53">
        <f>A52+1</f>
        <v>39</v>
      </c>
      <c r="B53">
        <f>$B$4+A53</f>
        <v>2065</v>
      </c>
      <c r="C53">
        <f>B53-$B$11</f>
        <v>79</v>
      </c>
      <c r="D53">
        <f>B53-$B$11</f>
        <v>79</v>
      </c>
      <c r="E53">
        <f>$B$5*(1+$B$7)^A53</f>
        <v>1154091.4971001565</v>
      </c>
      <c r="F53">
        <f>$B$6*$B$9^A53</f>
        <v>4.520627338213296</v>
      </c>
      <c r="G53">
        <f>E53/F53</f>
        <v>255294.5444860076</v>
      </c>
      <c r="H53">
        <f>(1+$B$8)^A53</f>
        <v>3.1670269825233732</v>
      </c>
      <c r="I53">
        <f>G53/H53</f>
        <v>80610.1576951511</v>
      </c>
      <c r="J53">
        <f>SUM($I$14:I53)</f>
        <v>2252669.1052728</v>
      </c>
      <c r="K53">
        <f>M52</f>
        <v>3105147.6886536893</v>
      </c>
      <c r="L53">
        <f>K53-G53</f>
        <v>2849853.144167682</v>
      </c>
      <c r="M53">
        <f>L53*(1+$B$8)</f>
        <v>2935348.7384927124</v>
      </c>
    </row>
    <row r="54">
      <c r="A54">
        <f>A53+1</f>
        <v>40</v>
      </c>
      <c r="B54">
        <f>$B$4+A54</f>
        <v>2066</v>
      </c>
      <c r="C54">
        <f>B54-$B$11</f>
        <v>80</v>
      </c>
      <c r="D54">
        <f>B54-$B$11</f>
        <v>80</v>
      </c>
      <c r="E54">
        <f>$B$5*(1+$B$7)^A54</f>
        <v>1200255.1569841625</v>
      </c>
      <c r="F54">
        <f>$B$6*$B$9^A54</f>
        <v>4.4754210648311625</v>
      </c>
      <c r="G54">
        <f>E54/F54</f>
        <v>268188.2083489373</v>
      </c>
      <c r="H54">
        <f>(1+$B$8)^A54</f>
        <v>3.262037791999074</v>
      </c>
      <c r="I54">
        <f>G54/H54</f>
        <v>82214.92988423764</v>
      </c>
      <c r="J54">
        <f>SUM($I$14:I54)</f>
        <v>2334884.035157038</v>
      </c>
      <c r="K54">
        <f>M53</f>
        <v>2935348.7384927124</v>
      </c>
      <c r="L54">
        <f>K54-G54</f>
        <v>2667160.5301437746</v>
      </c>
      <c r="M54">
        <f>L54*(1+$B$8)</f>
        <v>2747175.3460480883</v>
      </c>
    </row>
    <row r="55">
      <c r="A55">
        <f>A54+1</f>
        <v>41</v>
      </c>
      <c r="B55">
        <f>$B$4+A55</f>
        <v>2067</v>
      </c>
      <c r="C55">
        <f>B55-$B$11</f>
        <v>81</v>
      </c>
      <c r="D55">
        <f>B55-$B$11</f>
        <v>81</v>
      </c>
      <c r="E55">
        <f>$B$5*(1+$B$7)^A55</f>
        <v>1248265.363263529</v>
      </c>
      <c r="F55">
        <f>$B$6*$B$9^A55</f>
        <v>4.430666854182851</v>
      </c>
      <c r="G55">
        <f>E55/F55</f>
        <v>281733.06735645933</v>
      </c>
      <c r="H55">
        <f>(1+$B$8)^A55</f>
        <v>3.3598989257590466</v>
      </c>
      <c r="I55">
        <f>G55/H55</f>
        <v>83851.64958282548</v>
      </c>
      <c r="J55">
        <f>SUM($I$14:I55)</f>
        <v>2418735.6847398635</v>
      </c>
      <c r="K55">
        <f>M54</f>
        <v>2747175.3460480883</v>
      </c>
      <c r="L55">
        <f>K55-G55</f>
        <v>2465442.278691629</v>
      </c>
      <c r="M55">
        <f>L55*(1+$B$8)</f>
        <v>2539405.547052378</v>
      </c>
    </row>
    <row r="56">
      <c r="A56">
        <f>A55+1</f>
        <v>42</v>
      </c>
      <c r="B56">
        <f>$B$4+A56</f>
        <v>2068</v>
      </c>
      <c r="C56">
        <f>B56-$B$11</f>
        <v>82</v>
      </c>
      <c r="D56">
        <f>B56-$B$11</f>
        <v>82</v>
      </c>
      <c r="E56">
        <f>$B$5*(1+$B$7)^A56</f>
        <v>1298195.9777940703</v>
      </c>
      <c r="F56">
        <f>$B$6*$B$9^A56</f>
        <v>4.386360185641022</v>
      </c>
      <c r="G56">
        <f>E56/F56</f>
        <v>295962.01015224017</v>
      </c>
      <c r="H56">
        <f>(1+$B$8)^A56</f>
        <v>3.460695893531818</v>
      </c>
      <c r="I56">
        <f>G56/H56</f>
        <v>85520.9527960562</v>
      </c>
      <c r="J56">
        <f>SUM($I$14:I56)</f>
        <v>2504256.6375359194</v>
      </c>
      <c r="K56">
        <f>M55</f>
        <v>2539405.547052378</v>
      </c>
      <c r="L56">
        <f>K56-G56</f>
        <v>2243443.536900138</v>
      </c>
      <c r="M56">
        <f>L56*(1+$B$8)</f>
        <v>2310746.8430071417</v>
      </c>
    </row>
    <row r="57">
      <c r="A57">
        <f>A56+1</f>
        <v>43</v>
      </c>
      <c r="B57">
        <f>$B$4+A57</f>
        <v>2069</v>
      </c>
      <c r="C57">
        <f>B57-$B$11</f>
        <v>83</v>
      </c>
      <c r="D57">
        <f>B57-$B$11</f>
        <v>83</v>
      </c>
      <c r="E57">
        <f>$B$5*(1+$B$7)^A57</f>
        <v>1350123.816905833</v>
      </c>
      <c r="F57">
        <f>$B$6*$B$9^A57</f>
        <v>4.342496583784612</v>
      </c>
      <c r="G57">
        <f>E57/F57</f>
        <v>310909.58642255527</v>
      </c>
      <c r="H57">
        <f>(1+$B$8)^A57</f>
        <v>3.564516770337773</v>
      </c>
      <c r="I57">
        <f>G57/H57</f>
        <v>87223.48819054471</v>
      </c>
      <c r="J57">
        <f>SUM($I$14:I57)</f>
        <v>2591480.125726464</v>
      </c>
      <c r="K57">
        <f>M56</f>
        <v>2310746.8430071417</v>
      </c>
      <c r="L57">
        <f>K57-G57</f>
        <v>1999837.2565845866</v>
      </c>
      <c r="M57">
        <f>L57*(1+$B$8)</f>
        <v>2059832.374282124</v>
      </c>
    </row>
    <row r="58">
      <c r="A58">
        <f>A57+1</f>
        <v>44</v>
      </c>
      <c r="B58">
        <f>$B$4+A58</f>
        <v>2070</v>
      </c>
      <c r="C58">
        <f>B58-$B$11</f>
        <v>84</v>
      </c>
      <c r="D58">
        <f>B58-$B$11</f>
        <v>84</v>
      </c>
      <c r="E58">
        <f>$B$5*(1+$B$7)^A58</f>
        <v>1404128.7695820665</v>
      </c>
      <c r="F58">
        <f>$B$6*$B$9^A58</f>
        <v>4.299071617946766</v>
      </c>
      <c r="G58">
        <f>E58/F58</f>
        <v>326612.0907873308</v>
      </c>
      <c r="H58">
        <f>(1+$B$8)^A58</f>
        <v>3.671452273447906</v>
      </c>
      <c r="I58">
        <f>G58/H58</f>
        <v>88959.91734644161</v>
      </c>
      <c r="J58">
        <f>SUM($I$14:I58)</f>
        <v>2680440.043072906</v>
      </c>
      <c r="K58">
        <f>M57</f>
        <v>2059832.374282124</v>
      </c>
      <c r="L58">
        <f>K58-G58</f>
        <v>1733220.283494793</v>
      </c>
      <c r="M58">
        <f>L58*(1+$B$8)</f>
        <v>1785216.891999637</v>
      </c>
    </row>
    <row r="59">
      <c r="A59">
        <f>A58+1</f>
        <v>45</v>
      </c>
      <c r="B59">
        <f>$B$4+A59</f>
        <v>2071</v>
      </c>
      <c r="C59">
        <f>B59-$B$11</f>
        <v>85</v>
      </c>
      <c r="D59">
        <f>B59-$B$11</f>
        <v>85</v>
      </c>
      <c r="E59">
        <f>$B$5*(1+$B$7)^A59</f>
        <v>1460293.920365349</v>
      </c>
      <c r="F59">
        <f>$B$6*$B$9^A59</f>
        <v>4.256080901767298</v>
      </c>
      <c r="G59">
        <f>E59/F59</f>
        <v>343107.6509281051</v>
      </c>
      <c r="H59">
        <f>(1+$B$8)^A59</f>
        <v>3.781595841651343</v>
      </c>
      <c r="I59">
        <f>G59/H59</f>
        <v>90730.91501451336</v>
      </c>
      <c r="J59">
        <f>SUM($I$14:I59)</f>
        <v>2771170.958087419</v>
      </c>
      <c r="K59">
        <f>M58</f>
        <v>1785216.891999637</v>
      </c>
      <c r="L59">
        <f>K59-G59</f>
        <v>1442109.241071532</v>
      </c>
      <c r="M59">
        <f>L59*(1+$B$8)</f>
        <v>1485372.5183036777</v>
      </c>
    </row>
    <row r="60">
      <c r="A60">
        <f>A59+1</f>
        <v>46</v>
      </c>
      <c r="B60">
        <f>$B$4+A60</f>
        <v>2072</v>
      </c>
      <c r="C60">
        <f>B60-$B$11</f>
        <v>86</v>
      </c>
      <c r="D60">
        <f>B60-$B$11</f>
        <v>86</v>
      </c>
      <c r="E60">
        <f>$B$5*(1+$B$7)^A60</f>
        <v>1518705.6771799629</v>
      </c>
      <c r="F60">
        <f>$B$6*$B$9^A60</f>
        <v>4.213520092749626</v>
      </c>
      <c r="G60">
        <f>E60/F60</f>
        <v>360436.3201668983</v>
      </c>
      <c r="H60">
        <f>(1+$B$8)^A60</f>
        <v>3.895043716900883</v>
      </c>
      <c r="I60">
        <f>G60/H60</f>
        <v>92537.16937834058</v>
      </c>
      <c r="J60">
        <f>SUM($I$14:I60)</f>
        <v>2863708.1274657594</v>
      </c>
      <c r="K60">
        <f>M59</f>
        <v>1485372.5183036777</v>
      </c>
      <c r="L60">
        <f>K60-G60</f>
        <v>1124936.1981367797</v>
      </c>
      <c r="M60">
        <f>L60*(1+$B$8)</f>
        <v>1158684.284080883</v>
      </c>
    </row>
    <row r="61">
      <c r="A61">
        <f>A60+1</f>
        <v>47</v>
      </c>
      <c r="B61">
        <f>$B$4+A61</f>
        <v>2073</v>
      </c>
      <c r="C61">
        <f>B61-$B$11</f>
        <v>87</v>
      </c>
      <c r="D61">
        <f>B61-$B$11</f>
        <v>87</v>
      </c>
      <c r="E61">
        <f>$B$5*(1+$B$7)^A61</f>
        <v>1579453.9042671616</v>
      </c>
      <c r="F61">
        <f>$B$6*$B$9^A61</f>
        <v>4.171384891822129</v>
      </c>
      <c r="G61">
        <f>E61/F61</f>
        <v>378640.17472078203</v>
      </c>
      <c r="H61">
        <f>(1+$B$8)^A61</f>
        <v>4.01189502840791</v>
      </c>
      <c r="I61">
        <f>G61/H61</f>
        <v>94379.382321736</v>
      </c>
      <c r="J61">
        <f>SUM($I$14:I61)</f>
        <v>2958087.5097874957</v>
      </c>
      <c r="K61">
        <f>M60</f>
        <v>1158684.284080883</v>
      </c>
      <c r="L61">
        <f>K61-G61</f>
        <v>780044.1093601009</v>
      </c>
      <c r="M61">
        <f>L61*(1+$B$8)</f>
        <v>803445.4326409041</v>
      </c>
    </row>
    <row r="62">
      <c r="A62">
        <f>A61+1</f>
        <v>48</v>
      </c>
      <c r="B62">
        <f>$B$4+A62</f>
        <v>2074</v>
      </c>
      <c r="C62">
        <f>B62-$B$11</f>
        <v>88</v>
      </c>
      <c r="D62">
        <f>B62-$B$11</f>
        <v>88</v>
      </c>
      <c r="E62">
        <f>$B$5*(1+$B$7)^A62</f>
        <v>1642632.060437848</v>
      </c>
      <c r="F62">
        <f>$B$6*$B$9^A62</f>
        <v>4.129671042903908</v>
      </c>
      <c r="G62">
        <f>E62/F62</f>
        <v>397763.4158682963</v>
      </c>
      <c r="H62">
        <f>(1+$B$8)^A62</f>
        <v>4.132251879260147</v>
      </c>
      <c r="I62">
        <f>G62/H62</f>
        <v>96258.26970148616</v>
      </c>
      <c r="J62">
        <f>SUM($I$14:I62)</f>
        <v>3054345.7794889817</v>
      </c>
      <c r="K62">
        <f>M61</f>
        <v>803445.4326409041</v>
      </c>
      <c r="L62">
        <f>K62-G62</f>
        <v>405682.0167726077</v>
      </c>
      <c r="M62">
        <f>L62*(1+$B$8)</f>
        <v>417852.47727578605</v>
      </c>
    </row>
    <row r="63">
      <c r="A63">
        <f>A62+1</f>
        <v>49</v>
      </c>
      <c r="B63">
        <f>$B$4+A63</f>
        <v>2075</v>
      </c>
      <c r="C63">
        <f>B63-$B$11</f>
        <v>89</v>
      </c>
      <c r="D63">
        <f>B63-$B$11</f>
        <v>89</v>
      </c>
      <c r="E63">
        <f>$B$5*(1+$B$7)^A63</f>
        <v>1708337.3428553618</v>
      </c>
      <c r="F63">
        <f>$B$6*$B$9^A63</f>
        <v>4.088374332474868</v>
      </c>
      <c r="G63">
        <f>E63/F63</f>
        <v>417852.47727578605</v>
      </c>
      <c r="H63">
        <f>(1+$B$8)^A63</f>
        <v>4.256219435637951</v>
      </c>
      <c r="I63">
        <f>G63/H63</f>
        <v>98174.56162552282</v>
      </c>
      <c r="J63">
        <f>SUM($I$14:I63)</f>
        <v>3152520.3411145047</v>
      </c>
      <c r="K63">
        <f>M62</f>
        <v>417852.47727578605</v>
      </c>
      <c r="L63">
        <f>K63-G63</f>
        <v>0</v>
      </c>
      <c r="M63">
        <f>L63*(1+$B$8)</f>
        <v>0</v>
      </c>
    </row>
    <row r="65">
      <c r="A65" t="inlineStr">
        <is>
          <t>Required starting USD</t>
        </is>
      </c>
      <c r="B65">
        <f>SUM(I14:I63)</f>
        <v>3152520.3411145047</v>
      </c>
    </row>
    <row r="66">
      <c r="A66" t="inlineStr">
        <is>
          <t>First payment USD</t>
        </is>
      </c>
      <c r="B66">
        <f>G14</f>
        <v>37369.20777279522</v>
      </c>
    </row>
    <row r="67">
      <c r="A67" t="inlineStr">
        <is>
          <t>Last payment USD</t>
        </is>
      </c>
      <c r="B67">
        <f>G63</f>
        <v>417852.47727578605</v>
      </c>
    </row>
    <row r="68">
      <c r="A68" t="inlineStr">
        <is>
          <t>Final balance USD</t>
        </is>
      </c>
      <c r="B68">
        <f>M63</f>
        <v>0</v>
      </c>
    </row>
    <row r="69">
      <c r="A69" t="inlineStr">
        <is>
          <t>Actual row count</t>
        </is>
      </c>
      <c r="B69">
        <f>COUNT(A14:A63)</f>
        <v>50</v>
      </c>
    </row>
    <row r="71">
      <c r="A71" t="inlineStr">
        <is>
          <t>Final balance tolerance</t>
        </is>
      </c>
      <c r="B71">
        <v>0.000001</v>
      </c>
    </row>
    <row r="72">
      <c r="A72" t="inlineStr">
        <is>
          <t>50 payments end at89; age90 would be a51st payment. Float64 rounding residual &lt;=1e-6 is numerical zero.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3" topLeftCell="A14" activePane="bottomLeft" state="frozen"/>
    </sheetView>
  </sheetViews>
  <cols>
    <col min="1" max="4" width="13" customWidth="1"/>
    <col min="5" max="13" width="24" customWidth="1"/>
  </cols>
  <sheetData>
    <row r="1">
      <c r="A1" t="inlineStr">
        <is>
          <t>Independent 50-payment arithmetic controls</t>
        </is>
      </c>
    </row>
    <row r="2">
      <c r="A2" t="inlineStr">
        <is>
          <t>Human acceptance pending; open the two50-row sheets and inspect/recalculate formulas.</t>
        </is>
      </c>
    </row>
    <row r="3">
      <c r="A3" t="inlineStr">
        <is>
          <t>Flat FX PV USD</t>
        </is>
      </c>
      <c r="B3">
        <f>'Flat FX'!B65</f>
        <v>2390572.9770677146</v>
      </c>
    </row>
    <row r="4">
      <c r="A4" t="inlineStr">
        <is>
          <t>Appreciation PV USD</t>
        </is>
      </c>
      <c r="B4">
        <f>'RMB appreciation'!B65</f>
        <v>3152520.3411145047</v>
      </c>
    </row>
    <row r="5">
      <c r="A5" t="inlineStr">
        <is>
          <t>Flat payment count</t>
        </is>
      </c>
      <c r="B5">
        <f>'Flat FX'!B69</f>
        <v>50</v>
      </c>
    </row>
    <row r="6">
      <c r="A6" t="inlineStr">
        <is>
          <t>Appreciation payment count</t>
        </is>
      </c>
      <c r="B6">
        <f>'RMB appreciation'!B69</f>
        <v>50</v>
      </c>
    </row>
    <row r="8">
      <c r="A8" t="inlineStr">
        <is>
          <t>Exact flat PV</t>
        </is>
      </c>
      <c r="B8" t="inlineStr">
        <is>
          <t>2390572.9770677145932828554267970000473442304988766842740735298308</t>
        </is>
      </c>
    </row>
    <row r="9">
      <c r="A9" t="inlineStr">
        <is>
          <t>Exact appreciation PV</t>
        </is>
      </c>
      <c r="B9" t="inlineStr">
        <is>
          <t>3152520.3411145046905392977802592090780936043212755608347596589861</t>
        </is>
      </c>
    </row>
    <row r="11">
      <c r="A11" t="inlineStr">
        <is>
          <t>Tax, retirement access, extra medical costs, shocks, longevity and market sequences are separate cases; these PVs are not funding recommendations.</t>
        </is>
      </c>
    </row>
  </sheetData>
</worksheet>
</file>